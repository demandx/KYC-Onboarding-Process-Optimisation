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POC" sheetId="1" state="visible" r:id="rId3"/>
    <sheet name="TAT_AsIs" sheetId="2" state="visible" r:id="rId4"/>
    <sheet name="Capacity_AsIs" sheetId="3" state="visible" r:id="rId5"/>
    <sheet name="TAT_ToBe" sheetId="4" state="visible" r:id="rId6"/>
    <sheet name="Capacity_ToBe" sheetId="5" state="visible" r:id="rId7"/>
    <sheet name="MI_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<sst xmlns="http://schemas.openxmlformats.org/spreadsheetml/2006/main" count="394" uniqueCount="248">
  <si>
    <t xml:space="preserve">SIPOC — KYC Retail Onboarding Process</t>
  </si>
  <si>
    <t xml:space="preserve">SUPPLIERS</t>
  </si>
  <si>
    <t xml:space="preserve">INPUTS</t>
  </si>
  <si>
    <t xml:space="preserve">PROCESS (12 Steps)</t>
  </si>
  <si>
    <t xml:space="preserve">OUTPUTS</t>
  </si>
  <si>
    <t xml:space="preserve">CUSTOMERS</t>
  </si>
  <si>
    <t xml:space="preserve">Customer</t>
  </si>
  <si>
    <t xml:space="preserve">PAN Card</t>
  </si>
  <si>
    <t xml:space="preserve">1. Receive Application</t>
  </si>
  <si>
    <t xml:space="preserve">KYC Verified Account</t>
  </si>
  <si>
    <t xml:space="preserve">Operations Team</t>
  </si>
  <si>
    <t xml:space="preserve">Relationship Manager (RM)</t>
  </si>
  <si>
    <t xml:space="preserve">Aadhaar Card</t>
  </si>
  <si>
    <t xml:space="preserve">2. Document Upload</t>
  </si>
  <si>
    <t xml:space="preserve">Rejection Notice</t>
  </si>
  <si>
    <t xml:space="preserve">Compliance / Risk</t>
  </si>
  <si>
    <t xml:space="preserve">Upload System / Portal</t>
  </si>
  <si>
    <t xml:space="preserve">Address Proof</t>
  </si>
  <si>
    <t xml:space="preserve">3. Doc Quality Check</t>
  </si>
  <si>
    <t xml:space="preserve">Pending / Query Letter</t>
  </si>
  <si>
    <t xml:space="preserve">Third-party APIs (NSDL, UIDAI)</t>
  </si>
  <si>
    <t xml:space="preserve">Photograph</t>
  </si>
  <si>
    <t xml:space="preserve">4. Data Entry</t>
  </si>
  <si>
    <t xml:space="preserve">Audit Trail / Log</t>
  </si>
  <si>
    <t xml:space="preserve">Regulatory Bodies</t>
  </si>
  <si>
    <t xml:space="preserve">KYC Form / Application</t>
  </si>
  <si>
    <t xml:space="preserve">5. PAN Validation</t>
  </si>
  <si>
    <t xml:space="preserve">6. Aadhaar Validation</t>
  </si>
  <si>
    <t xml:space="preserve">7. AML / Name Screening</t>
  </si>
  <si>
    <t xml:space="preserve">8. Address Verification</t>
  </si>
  <si>
    <t xml:space="preserve">9. Risk Categorisation</t>
  </si>
  <si>
    <t xml:space="preserve">10. Maker Review</t>
  </si>
  <si>
    <t xml:space="preserve">11. Checker Approval</t>
  </si>
  <si>
    <t xml:space="preserve">12. Account Activation</t>
  </si>
  <si>
    <t xml:space="preserve">🔴 = Bottleneck Step   |   🟡 = Watch Step (automation candidate)   |   Process Owner: Operations &amp; Compliance</t>
  </si>
  <si>
    <t xml:space="preserve">KYC ONBOARDING — AS-IS TAT MODEL</t>
  </si>
  <si>
    <t xml:space="preserve">TAT_AsIs | Touch Time &amp; End-to-End Analysis</t>
  </si>
  <si>
    <t xml:space="preserve">#</t>
  </si>
  <si>
    <t xml:space="preserve">Process Step</t>
  </si>
  <si>
    <t xml:space="preserve">Touch Time (min)</t>
  </si>
  <si>
    <t xml:space="preserve">Owner</t>
  </si>
  <si>
    <t xml:space="preserve">Type</t>
  </si>
  <si>
    <t xml:space="preserve">Notes</t>
  </si>
  <si>
    <t xml:space="preserve">Receive Application</t>
  </si>
  <si>
    <t xml:space="preserve">Ops</t>
  </si>
  <si>
    <t xml:space="preserve">Manual</t>
  </si>
  <si>
    <t xml:space="preserve">Entry trigger</t>
  </si>
  <si>
    <t xml:space="preserve">Document Upload</t>
  </si>
  <si>
    <t xml:space="preserve">System</t>
  </si>
  <si>
    <t xml:space="preserve">Automated</t>
  </si>
  <si>
    <t xml:space="preserve">Customer / RM upload</t>
  </si>
  <si>
    <t xml:space="preserve">Doc Quality Check</t>
  </si>
  <si>
    <t xml:space="preserve">Visual check</t>
  </si>
  <si>
    <t xml:space="preserve">Data Entry</t>
  </si>
  <si>
    <t xml:space="preserve">Key bottleneck – OCR candidate</t>
  </si>
  <si>
    <t xml:space="preserve">PAN Validation</t>
  </si>
  <si>
    <t xml:space="preserve">API</t>
  </si>
  <si>
    <t xml:space="preserve">NSDL API</t>
  </si>
  <si>
    <t xml:space="preserve">Aadhaar Validation</t>
  </si>
  <si>
    <t xml:space="preserve">UIDAI API (serial after PAN)</t>
  </si>
  <si>
    <t xml:space="preserve">AML / Name Screening</t>
  </si>
  <si>
    <t xml:space="preserve">Risk</t>
  </si>
  <si>
    <t xml:space="preserve">AML queue – wait risk</t>
  </si>
  <si>
    <t xml:space="preserve">Address Verification</t>
  </si>
  <si>
    <t xml:space="preserve">Verification</t>
  </si>
  <si>
    <t xml:space="preserve">⚠ BOTTLENECK – manual, error-prone</t>
  </si>
  <si>
    <t xml:space="preserve">Risk Categorisation</t>
  </si>
  <si>
    <t xml:space="preserve">Low/Med/High</t>
  </si>
  <si>
    <t xml:space="preserve">Maker Review</t>
  </si>
  <si>
    <t xml:space="preserve">4-eye check</t>
  </si>
  <si>
    <t xml:space="preserve">Checker Approval</t>
  </si>
  <si>
    <t xml:space="preserve">Senior ops</t>
  </si>
  <si>
    <t xml:space="preserve">Account Activation</t>
  </si>
  <si>
    <t xml:space="preserve">Core banking trigger</t>
  </si>
  <si>
    <t xml:space="preserve">SUMMARY CALCULATIONS</t>
  </si>
  <si>
    <t xml:space="preserve">Touch Time Total (T_touch)</t>
  </si>
  <si>
    <t xml:space="preserve">min</t>
  </si>
  <si>
    <t xml:space="preserve">Avg Queue / Wait Time</t>
  </si>
  <si>
    <t xml:space="preserve">End-to-End TAT (T_e2e)</t>
  </si>
  <si>
    <t xml:space="preserve">Process Efficiency</t>
  </si>
  <si>
    <t xml:space="preserve">%</t>
  </si>
  <si>
    <t xml:space="preserve">STEP SHARE ANALYSIS (% of T_touch)</t>
  </si>
  <si>
    <t xml:space="preserve">Step</t>
  </si>
  <si>
    <t xml:space="preserve">Time (min)</t>
  </si>
  <si>
    <t xml:space="preserve">Share %</t>
  </si>
  <si>
    <t xml:space="preserve">Flag</t>
  </si>
  <si>
    <t xml:space="preserve">🟢 OK</t>
  </si>
  <si>
    <t xml:space="preserve">🟡 Watch</t>
  </si>
  <si>
    <t xml:space="preserve">🔴 BOTTLENECK</t>
  </si>
  <si>
    <t xml:space="preserve">KYC ONBOARDING — AS-IS CAPACITY &amp; FTE MODEL</t>
  </si>
  <si>
    <t xml:space="preserve">Capacity_AsIs | Workload vs Available Capacity | Blue = Input  |  Black = Formula</t>
  </si>
  <si>
    <t xml:space="preserve">INPUTS — Assumptions</t>
  </si>
  <si>
    <t xml:space="preserve">Parameter</t>
  </si>
  <si>
    <t xml:space="preserve">Value</t>
  </si>
  <si>
    <t xml:space="preserve">Unit</t>
  </si>
  <si>
    <t xml:space="preserve">Daily Case Volume (D)</t>
  </si>
  <si>
    <t xml:space="preserve">cases/day</t>
  </si>
  <si>
    <t xml:space="preserve">Planned daily intake</t>
  </si>
  <si>
    <t xml:space="preserve">T_touch — Touch Time</t>
  </si>
  <si>
    <t xml:space="preserve">min/case</t>
  </si>
  <si>
    <t xml:space="preserve">From TAT_AsIs model</t>
  </si>
  <si>
    <t xml:space="preserve">Working Mins per FTE per Day</t>
  </si>
  <si>
    <t xml:space="preserve">8-hour shift</t>
  </si>
  <si>
    <t xml:space="preserve">Productivity Factor</t>
  </si>
  <si>
    <t xml:space="preserve">Industry standard</t>
  </si>
  <si>
    <t xml:space="preserve">Current FTE</t>
  </si>
  <si>
    <t xml:space="preserve">FTEs</t>
  </si>
  <si>
    <t xml:space="preserve">Headcount (Ops + Verification + Risk)</t>
  </si>
  <si>
    <t xml:space="preserve">SLA Target</t>
  </si>
  <si>
    <t xml:space="preserve">hours</t>
  </si>
  <si>
    <t xml:space="preserve">Max end-to-end TAT</t>
  </si>
  <si>
    <t xml:space="preserve">OUTPUTS — Derived Metrics</t>
  </si>
  <si>
    <t xml:space="preserve">Metric</t>
  </si>
  <si>
    <t xml:space="preserve">Formula</t>
  </si>
  <si>
    <t xml:space="preserve">Effective Mins/FTE/Day (E)</t>
  </si>
  <si>
    <t xml:space="preserve">Work_Mins × Productivity</t>
  </si>
  <si>
    <t xml:space="preserve">Total Workload (W)</t>
  </si>
  <si>
    <t xml:space="preserve">min/day</t>
  </si>
  <si>
    <t xml:space="preserve">D × T_touch</t>
  </si>
  <si>
    <t xml:space="preserve">Available Capacity (C)</t>
  </si>
  <si>
    <t xml:space="preserve">FTE × E</t>
  </si>
  <si>
    <t xml:space="preserve">Utilisation (U)</t>
  </si>
  <si>
    <t xml:space="preserve">W / C</t>
  </si>
  <si>
    <t xml:space="preserve">Excess Minutes/Day</t>
  </si>
  <si>
    <t xml:space="preserve">W − C  (if positive)</t>
  </si>
  <si>
    <t xml:space="preserve">Backlog Cases/Day</t>
  </si>
  <si>
    <t xml:space="preserve">cases</t>
  </si>
  <si>
    <t xml:space="preserve">MAX(0,(W−C)/T_touch)</t>
  </si>
  <si>
    <t xml:space="preserve">Throughput (cases/day)</t>
  </si>
  <si>
    <t xml:space="preserve">C / T_touch</t>
  </si>
  <si>
    <t xml:space="preserve">FTE Required to Clear at 100%</t>
  </si>
  <si>
    <t xml:space="preserve">W / E</t>
  </si>
  <si>
    <t xml:space="preserve">WHAT-IF SENSITIVITY — FTE vs Utilisation &amp; Backlog</t>
  </si>
  <si>
    <t xml:space="preserve">FTE</t>
  </si>
  <si>
    <t xml:space="preserve">Capacity (min)</t>
  </si>
  <si>
    <t xml:space="preserve">Utilisation %</t>
  </si>
  <si>
    <t xml:space="preserve">Backlog Cases</t>
  </si>
  <si>
    <t xml:space="preserve">Status</t>
  </si>
  <si>
    <t xml:space="preserve">KYC ONBOARDING — TO-BE TAT MODEL (Post-Optimisation)</t>
  </si>
  <si>
    <t xml:space="preserve">TAT_ToBe | Interventions: OCR Data Entry | Address API | Parallel PAN+Aadhaar</t>
  </si>
  <si>
    <t xml:space="preserve">INTERVENTIONS APPLIED</t>
  </si>
  <si>
    <t xml:space="preserve">Intervention</t>
  </si>
  <si>
    <t xml:space="preserve">Impact</t>
  </si>
  <si>
    <t xml:space="preserve">Description</t>
  </si>
  <si>
    <t xml:space="preserve">OCR for Data Entry</t>
  </si>
  <si>
    <t xml:space="preserve">6 → 4 min</t>
  </si>
  <si>
    <t xml:space="preserve">Automated document reading</t>
  </si>
  <si>
    <t xml:space="preserve">Address Verification API</t>
  </si>
  <si>
    <t xml:space="preserve">10 → 6 min</t>
  </si>
  <si>
    <t xml:space="preserve">Replace manual with API lookup</t>
  </si>
  <si>
    <t xml:space="preserve">Parallel PAN &amp; Aadhaar Check</t>
  </si>
  <si>
    <t xml:space="preserve">Serial → Parallel</t>
  </si>
  <si>
    <t xml:space="preserve">Eliminate sequential wait</t>
  </si>
  <si>
    <t xml:space="preserve">AML Queue Optimisation</t>
  </si>
  <si>
    <t xml:space="preserve">8 → 7 min</t>
  </si>
  <si>
    <t xml:space="preserve">Pre-screening automation</t>
  </si>
  <si>
    <t xml:space="preserve">STEP-BY-STEP COMPARISON</t>
  </si>
  <si>
    <t xml:space="preserve">As-Is (min)</t>
  </si>
  <si>
    <t xml:space="preserve">To-Be (min)</t>
  </si>
  <si>
    <t xml:space="preserve">Saving (min)</t>
  </si>
  <si>
    <t xml:space="preserve">Change Note</t>
  </si>
  <si>
    <t xml:space="preserve">No change</t>
  </si>
  <si>
    <t xml:space="preserve">✅ OCR automation</t>
  </si>
  <si>
    <t xml:space="preserve">Now parallel with Aadhaar</t>
  </si>
  <si>
    <t xml:space="preserve">✅ Parallel → no extra time</t>
  </si>
  <si>
    <t xml:space="preserve">Pre-screen filter</t>
  </si>
  <si>
    <t xml:space="preserve">✅ API replaces manual</t>
  </si>
  <si>
    <t xml:space="preserve">SUMMARY COMPARISON</t>
  </si>
  <si>
    <t xml:space="preserve">As-Is</t>
  </si>
  <si>
    <t xml:space="preserve">To-Be</t>
  </si>
  <si>
    <t xml:space="preserve">Improvement</t>
  </si>
  <si>
    <t xml:space="preserve">T_touch (min)</t>
  </si>
  <si>
    <t xml:space="preserve">8 min saved</t>
  </si>
  <si>
    <t xml:space="preserve">T_e2e (min)</t>
  </si>
  <si>
    <t xml:space="preserve">−16.7%</t>
  </si>
  <si>
    <t xml:space="preserve">Queue/Wait</t>
  </si>
  <si>
    <t xml:space="preserve">Reduced handoffs</t>
  </si>
  <si>
    <t xml:space="preserve">FTE Required</t>
  </si>
  <si>
    <t xml:space="preserve">10 FTE capacity created</t>
  </si>
  <si>
    <t xml:space="preserve">KYC ONBOARDING — TO-BE CAPACITY MODEL</t>
  </si>
  <si>
    <t xml:space="preserve">Capacity_ToBe | Optimised FTE Requirements &amp; Utilisation</t>
  </si>
  <si>
    <t xml:space="preserve">INPUTS — To-Be Assumptions</t>
  </si>
  <si>
    <t xml:space="preserve">Unchanged</t>
  </si>
  <si>
    <t xml:space="preserve">T_touch — To-Be Touch Time</t>
  </si>
  <si>
    <t xml:space="preserve">After OCR + API + Parallel</t>
  </si>
  <si>
    <t xml:space="preserve">Target FTE (To-Be)</t>
  </si>
  <si>
    <t xml:space="preserve">Optimised headcount</t>
  </si>
  <si>
    <t xml:space="preserve">OUTPUTS — To-Be Metrics</t>
  </si>
  <si>
    <t xml:space="preserve">Total Workload W' (To-Be)</t>
  </si>
  <si>
    <t xml:space="preserve">D × T_touch_ToBe</t>
  </si>
  <si>
    <t xml:space="preserve">Available Capacity C'</t>
  </si>
  <si>
    <t xml:space="preserve">Utilisation U'</t>
  </si>
  <si>
    <t xml:space="preserve">W' / C'</t>
  </si>
  <si>
    <t xml:space="preserve">MAX(0,(W'−C')/T_touch)</t>
  </si>
  <si>
    <t xml:space="preserve">C' / T_touch</t>
  </si>
  <si>
    <t xml:space="preserve">ROUNDUP(W'/E,0)</t>
  </si>
  <si>
    <t xml:space="preserve">Capacity Created (FTE equiv)</t>
  </si>
  <si>
    <t xml:space="preserve">As-Is FTE − To-Be FTE req</t>
  </si>
  <si>
    <t xml:space="preserve">BEFORE vs AFTER — Impact Summary</t>
  </si>
  <si>
    <t xml:space="preserve">KPI</t>
  </si>
  <si>
    <t xml:space="preserve">Δ Change</t>
  </si>
  <si>
    <t xml:space="preserve">−15.1%</t>
  </si>
  <si>
    <t xml:space="preserve">Utilisation</t>
  </si>
  <si>
    <t xml:space="preserve">108%</t>
  </si>
  <si>
    <t xml:space="preserve">~92-100%</t>
  </si>
  <si>
    <t xml:space="preserve">Normalised</t>
  </si>
  <si>
    <t xml:space="preserve">Backlog/day (cases)</t>
  </si>
  <si>
    <t xml:space="preserve">38-80</t>
  </si>
  <si>
    <t xml:space="preserve">0</t>
  </si>
  <si>
    <t xml:space="preserve">Eliminated</t>
  </si>
  <si>
    <t xml:space="preserve">SLA Risk</t>
  </si>
  <si>
    <t xml:space="preserve">HIGH</t>
  </si>
  <si>
    <t xml:space="preserve">LOW</t>
  </si>
  <si>
    <t xml:space="preserve">Stabilised</t>
  </si>
  <si>
    <t xml:space="preserve">KYC ONBOARDING — MI DASHBOARD</t>
  </si>
  <si>
    <t xml:space="preserve">Management Information | Daily KPI Tracker | As-Is vs To-Be</t>
  </si>
  <si>
    <t xml:space="preserve">KEY PERFORMANCE INDICATORS</t>
  </si>
  <si>
    <t xml:space="preserve">📦 Volume/Day</t>
  </si>
  <si>
    <t xml:space="preserve">⏱ T_touch (As-Is)</t>
  </si>
  <si>
    <t xml:space="preserve">⏱ T_e2e (As-Is)</t>
  </si>
  <si>
    <t xml:space="preserve">📊 Utilisation</t>
  </si>
  <si>
    <t xml:space="preserve">📋 Backlog/Day</t>
  </si>
  <si>
    <t xml:space="preserve">✅ Throughput</t>
  </si>
  <si>
    <t xml:space="preserve">⏱ T_touch (To-Be)</t>
  </si>
  <si>
    <t xml:space="preserve">⏱ T_e2e (To-Be)</t>
  </si>
  <si>
    <t xml:space="preserve">📊 Util (To-Be)</t>
  </si>
  <si>
    <t xml:space="preserve">📋 Backlog (To-Be)</t>
  </si>
  <si>
    <t xml:space="preserve">✅ Throughput ToBe</t>
  </si>
  <si>
    <t xml:space="preserve">WHAT-IF ANALYSIS — FTE Sensitivity</t>
  </si>
  <si>
    <t xml:space="preserve">FTE Scenario</t>
  </si>
  <si>
    <t xml:space="preserve">Workload (min)</t>
  </si>
  <si>
    <t xml:space="preserve">SLA RISK SUMMARY</t>
  </si>
  <si>
    <t xml:space="preserve">Threshold</t>
  </si>
  <si>
    <t xml:space="preserve">As-Is Status</t>
  </si>
  <si>
    <t xml:space="preserve">To-Be Status</t>
  </si>
  <si>
    <t xml:space="preserve">TAT (hours)</t>
  </si>
  <si>
    <t xml:space="preserve">&lt; 24h</t>
  </si>
  <si>
    <t xml:space="preserve">🔴 At Risk (90 min touch only)</t>
  </si>
  <si>
    <t xml:space="preserve">🟢 75 min — safe</t>
  </si>
  <si>
    <t xml:space="preserve">&lt; 100%</t>
  </si>
  <si>
    <t xml:space="preserve">🔴 108% — overloaded</t>
  </si>
  <si>
    <t xml:space="preserve">🟢 ~92% — healthy</t>
  </si>
  <si>
    <t xml:space="preserve">🔴 38–80 cases/day</t>
  </si>
  <si>
    <t xml:space="preserve">🟢 Zero</t>
  </si>
  <si>
    <t xml:space="preserve">FTE Coverage</t>
  </si>
  <si>
    <t xml:space="preserve">≥ FTE req</t>
  </si>
  <si>
    <t xml:space="preserve">🔴 60 vs 65 required</t>
  </si>
  <si>
    <t xml:space="preserve">🟢 55 FTE sufficient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</si>
</sst>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%"/>
    <numFmt numFmtId="167" formatCode="0.0"/>
    <numFmt numFmtId="168" formatCode="#,##0"/>
    <numFmt numFmtId="169" formatCode="&quot;ca&quot;ses"/>
    <numFmt numFmtId="170" formatCode="m&quot;in&quot;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003366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4"/>
      <color rgb="FF003366"/>
      <name val="Arial"/>
      <family val="0"/>
      <charset val="1"/>
    </font>
    <font>
      <b val="true"/>
      <sz val="14"/>
      <color rgb="FF375623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03366"/>
        <bgColor rgb="FF1F4E79"/>
      </patternFill>
    </fill>
    <fill>
      <patternFill patternType="solid">
        <fgColor rgb="FF1F4E79"/>
        <bgColor rgb="FF003366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FE699"/>
        <bgColor rgb="FFFFCCCC"/>
      </patternFill>
    </fill>
    <fill>
      <patternFill patternType="solid">
        <fgColor rgb="FFFFCCCC"/>
        <bgColor rgb="FFFFE699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595959"/>
        <bgColor rgb="FF375623"/>
      </patternFill>
    </fill>
    <fill>
      <patternFill patternType="solid">
        <fgColor rgb="FFBDD7EE"/>
        <bgColor rgb="FF99CCFF"/>
      </patternFill>
    </fill>
    <fill>
      <patternFill patternType="solid">
        <fgColor rgb="FF375623"/>
        <bgColor rgb="FF595959"/>
      </patternFill>
    </fill>
    <fill>
      <patternFill patternType="solid">
        <fgColor rgb="FFC9A84C"/>
        <bgColor rgb="FFFF9900"/>
      </patternFill>
    </fill>
    <fill>
      <patternFill patternType="solid">
        <fgColor rgb="FFC00000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C00000"/>
      </font>
      <fill>
        <patternFill>
          <bgColor rgb="FFFFCCCC"/>
        </patternFill>
      </fill>
    </dxf>
    <dxf>
      <font>
        <b val="1"/>
        <color rgb="FF375623"/>
      </font>
      <fill>
        <patternFill>
          <bgColor rgb="FFE2EFDA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595959"/>
      <rgbColor rgb="FFC9A84C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" width="30"/>
    <col collapsed="false" customWidth="true" hidden="false" outlineLevel="0" max="5" min="4" style="1" width="20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</row>
    <row r="2" customFormat="false" ht="19.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customFormat="false" ht="19.5" hidden="false" customHeight="true" outlineLevel="0" collapsed="false">
      <c r="A3" s="4" t="s">
        <v>6</v>
      </c>
      <c r="B3" s="4" t="s">
        <v>7</v>
      </c>
      <c r="C3" s="5" t="s">
        <v>8</v>
      </c>
      <c r="D3" s="6" t="s">
        <v>9</v>
      </c>
      <c r="E3" s="4" t="s">
        <v>10</v>
      </c>
    </row>
    <row r="4" customFormat="false" ht="19.5" hidden="false" customHeight="true" outlineLevel="0" collapsed="false">
      <c r="A4" s="4" t="s">
        <v>11</v>
      </c>
      <c r="B4" s="4" t="s">
        <v>12</v>
      </c>
      <c r="C4" s="5" t="s">
        <v>13</v>
      </c>
      <c r="D4" s="6" t="s">
        <v>14</v>
      </c>
      <c r="E4" s="4" t="s">
        <v>15</v>
      </c>
    </row>
    <row r="5" customFormat="false" ht="19.5" hidden="false" customHeight="true" outlineLevel="0" collapsed="false">
      <c r="A5" s="4" t="s">
        <v>16</v>
      </c>
      <c r="B5" s="4" t="s">
        <v>17</v>
      </c>
      <c r="C5" s="5" t="s">
        <v>18</v>
      </c>
      <c r="D5" s="6" t="s">
        <v>19</v>
      </c>
      <c r="E5" s="4" t="s">
        <v>6</v>
      </c>
    </row>
    <row r="6" customFormat="false" ht="19.5" hidden="false" customHeight="true" outlineLevel="0" collapsed="false">
      <c r="A6" s="4" t="s">
        <v>20</v>
      </c>
      <c r="B6" s="4" t="s">
        <v>21</v>
      </c>
      <c r="C6" s="6" t="s">
        <v>22</v>
      </c>
      <c r="D6" s="6" t="s">
        <v>23</v>
      </c>
      <c r="E6" s="4" t="s">
        <v>24</v>
      </c>
    </row>
    <row r="7" customFormat="false" ht="19.5" hidden="false" customHeight="true" outlineLevel="0" collapsed="false">
      <c r="A7" s="4"/>
      <c r="B7" s="4" t="s">
        <v>25</v>
      </c>
      <c r="C7" s="5" t="s">
        <v>26</v>
      </c>
      <c r="D7" s="6"/>
      <c r="E7" s="4"/>
    </row>
    <row r="8" customFormat="false" ht="19.5" hidden="false" customHeight="true" outlineLevel="0" collapsed="false">
      <c r="A8" s="4"/>
      <c r="B8" s="4"/>
      <c r="C8" s="5" t="s">
        <v>27</v>
      </c>
      <c r="D8" s="6"/>
      <c r="E8" s="4"/>
    </row>
    <row r="9" customFormat="false" ht="19.5" hidden="false" customHeight="true" outlineLevel="0" collapsed="false">
      <c r="A9" s="4"/>
      <c r="B9" s="4"/>
      <c r="C9" s="6" t="s">
        <v>28</v>
      </c>
      <c r="D9" s="6"/>
      <c r="E9" s="4"/>
    </row>
    <row r="10" customFormat="false" ht="19.5" hidden="false" customHeight="true" outlineLevel="0" collapsed="false">
      <c r="A10" s="4"/>
      <c r="B10" s="4"/>
      <c r="C10" s="7" t="s">
        <v>29</v>
      </c>
      <c r="D10" s="6"/>
      <c r="E10" s="4"/>
    </row>
    <row r="11" customFormat="false" ht="19.5" hidden="false" customHeight="true" outlineLevel="0" collapsed="false">
      <c r="A11" s="4"/>
      <c r="B11" s="4"/>
      <c r="C11" s="5" t="s">
        <v>30</v>
      </c>
      <c r="D11" s="6"/>
      <c r="E11" s="4"/>
    </row>
    <row r="12" customFormat="false" ht="19.5" hidden="false" customHeight="true" outlineLevel="0" collapsed="false">
      <c r="A12" s="4"/>
      <c r="B12" s="4"/>
      <c r="C12" s="5" t="s">
        <v>31</v>
      </c>
      <c r="D12" s="6"/>
      <c r="E12" s="4"/>
    </row>
    <row r="13" customFormat="false" ht="19.5" hidden="false" customHeight="true" outlineLevel="0" collapsed="false">
      <c r="A13" s="4"/>
      <c r="B13" s="4"/>
      <c r="C13" s="5" t="s">
        <v>32</v>
      </c>
      <c r="D13" s="6"/>
      <c r="E13" s="4"/>
    </row>
    <row r="14" customFormat="false" ht="19.5" hidden="false" customHeight="true" outlineLevel="0" collapsed="false">
      <c r="A14" s="4"/>
      <c r="B14" s="4"/>
      <c r="C14" s="5" t="s">
        <v>33</v>
      </c>
      <c r="D14" s="6"/>
      <c r="E14" s="4"/>
    </row>
    <row r="17" customFormat="false" ht="15" hidden="false" customHeight="true" outlineLevel="0" collapsed="false">
      <c r="A17" s="8" t="s">
        <v>34</v>
      </c>
      <c r="B17" s="8"/>
      <c r="C17" s="8"/>
      <c r="D17" s="8"/>
      <c r="E17" s="8"/>
    </row>
  </sheetData>
  <mergeCells count="2">
    <mergeCell ref="A1:E1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22"/>
    <col collapsed="false" customWidth="true" hidden="false" outlineLevel="0" max="6" min="6" style="1" width="20"/>
  </cols>
  <sheetData>
    <row r="1" customFormat="false" ht="30" hidden="false" customHeight="true" outlineLevel="0" collapsed="false">
      <c r="A1" s="2" t="s">
        <v>35</v>
      </c>
      <c r="B1" s="2"/>
      <c r="C1" s="2"/>
      <c r="D1" s="2"/>
      <c r="E1" s="2"/>
      <c r="F1" s="2"/>
    </row>
    <row r="2" customFormat="false" ht="15.75" hidden="false" customHeight="true" outlineLevel="0" collapsed="false">
      <c r="A2" s="9" t="s">
        <v>36</v>
      </c>
      <c r="B2" s="9"/>
      <c r="C2" s="9"/>
      <c r="D2" s="9"/>
      <c r="E2" s="9"/>
      <c r="F2" s="9"/>
    </row>
    <row r="4" customFormat="false" ht="19.5" hidden="false" customHeight="true" outlineLevel="0" collapsed="false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42</v>
      </c>
    </row>
    <row r="5" customFormat="false" ht="15" hidden="false" customHeight="true" outlineLevel="0" collapsed="false">
      <c r="A5" s="10" t="n">
        <v>1</v>
      </c>
      <c r="B5" s="11" t="s">
        <v>43</v>
      </c>
      <c r="C5" s="10" t="n">
        <v>2</v>
      </c>
      <c r="D5" s="10" t="s">
        <v>44</v>
      </c>
      <c r="E5" s="10" t="s">
        <v>45</v>
      </c>
      <c r="F5" s="11" t="s">
        <v>46</v>
      </c>
    </row>
    <row r="6" customFormat="false" ht="15" hidden="false" customHeight="true" outlineLevel="0" collapsed="false">
      <c r="A6" s="10" t="n">
        <v>2</v>
      </c>
      <c r="B6" s="11" t="s">
        <v>47</v>
      </c>
      <c r="C6" s="10" t="n">
        <v>3</v>
      </c>
      <c r="D6" s="10" t="s">
        <v>48</v>
      </c>
      <c r="E6" s="10" t="s">
        <v>49</v>
      </c>
      <c r="F6" s="11" t="s">
        <v>50</v>
      </c>
    </row>
    <row r="7" customFormat="false" ht="15" hidden="false" customHeight="true" outlineLevel="0" collapsed="false">
      <c r="A7" s="10" t="n">
        <v>3</v>
      </c>
      <c r="B7" s="11" t="s">
        <v>51</v>
      </c>
      <c r="C7" s="10" t="n">
        <v>4</v>
      </c>
      <c r="D7" s="10" t="s">
        <v>44</v>
      </c>
      <c r="E7" s="10" t="s">
        <v>45</v>
      </c>
      <c r="F7" s="11" t="s">
        <v>52</v>
      </c>
    </row>
    <row r="8" customFormat="false" ht="23.25" hidden="false" customHeight="true" outlineLevel="0" collapsed="false">
      <c r="A8" s="12" t="n">
        <v>4</v>
      </c>
      <c r="B8" s="6" t="s">
        <v>53</v>
      </c>
      <c r="C8" s="12" t="n">
        <v>6</v>
      </c>
      <c r="D8" s="12" t="s">
        <v>44</v>
      </c>
      <c r="E8" s="12" t="s">
        <v>45</v>
      </c>
      <c r="F8" s="6" t="s">
        <v>54</v>
      </c>
    </row>
    <row r="9" customFormat="false" ht="15" hidden="false" customHeight="true" outlineLevel="0" collapsed="false">
      <c r="A9" s="10" t="n">
        <v>5</v>
      </c>
      <c r="B9" s="11" t="s">
        <v>55</v>
      </c>
      <c r="C9" s="10" t="n">
        <v>5</v>
      </c>
      <c r="D9" s="10" t="s">
        <v>48</v>
      </c>
      <c r="E9" s="10" t="s">
        <v>56</v>
      </c>
      <c r="F9" s="11" t="s">
        <v>57</v>
      </c>
    </row>
    <row r="10" customFormat="false" ht="23.25" hidden="false" customHeight="true" outlineLevel="0" collapsed="false">
      <c r="A10" s="10" t="n">
        <v>6</v>
      </c>
      <c r="B10" s="11" t="s">
        <v>58</v>
      </c>
      <c r="C10" s="10" t="n">
        <v>5</v>
      </c>
      <c r="D10" s="10" t="s">
        <v>48</v>
      </c>
      <c r="E10" s="10" t="s">
        <v>56</v>
      </c>
      <c r="F10" s="11" t="s">
        <v>59</v>
      </c>
    </row>
    <row r="11" customFormat="false" ht="15" hidden="false" customHeight="true" outlineLevel="0" collapsed="false">
      <c r="A11" s="12" t="n">
        <v>7</v>
      </c>
      <c r="B11" s="6" t="s">
        <v>60</v>
      </c>
      <c r="C11" s="12" t="n">
        <v>8</v>
      </c>
      <c r="D11" s="12" t="s">
        <v>61</v>
      </c>
      <c r="E11" s="12" t="s">
        <v>45</v>
      </c>
      <c r="F11" s="6" t="s">
        <v>62</v>
      </c>
    </row>
    <row r="12" customFormat="false" ht="23.25" hidden="false" customHeight="true" outlineLevel="0" collapsed="false">
      <c r="A12" s="13" t="n">
        <v>8</v>
      </c>
      <c r="B12" s="7" t="s">
        <v>63</v>
      </c>
      <c r="C12" s="13" t="n">
        <v>10</v>
      </c>
      <c r="D12" s="13" t="s">
        <v>64</v>
      </c>
      <c r="E12" s="13" t="s">
        <v>45</v>
      </c>
      <c r="F12" s="7" t="s">
        <v>65</v>
      </c>
    </row>
    <row r="13" customFormat="false" ht="15" hidden="false" customHeight="true" outlineLevel="0" collapsed="false">
      <c r="A13" s="10" t="n">
        <v>9</v>
      </c>
      <c r="B13" s="11" t="s">
        <v>66</v>
      </c>
      <c r="C13" s="10" t="n">
        <v>4</v>
      </c>
      <c r="D13" s="10" t="s">
        <v>61</v>
      </c>
      <c r="E13" s="10" t="s">
        <v>45</v>
      </c>
      <c r="F13" s="11" t="s">
        <v>67</v>
      </c>
    </row>
    <row r="14" customFormat="false" ht="15" hidden="false" customHeight="true" outlineLevel="0" collapsed="false">
      <c r="A14" s="10" t="n">
        <v>10</v>
      </c>
      <c r="B14" s="11" t="s">
        <v>68</v>
      </c>
      <c r="C14" s="10" t="n">
        <v>6</v>
      </c>
      <c r="D14" s="10" t="s">
        <v>44</v>
      </c>
      <c r="E14" s="10" t="s">
        <v>45</v>
      </c>
      <c r="F14" s="11" t="s">
        <v>69</v>
      </c>
    </row>
    <row r="15" customFormat="false" ht="15" hidden="false" customHeight="true" outlineLevel="0" collapsed="false">
      <c r="A15" s="10" t="n">
        <v>11</v>
      </c>
      <c r="B15" s="11" t="s">
        <v>70</v>
      </c>
      <c r="C15" s="10" t="n">
        <v>5</v>
      </c>
      <c r="D15" s="10" t="s">
        <v>44</v>
      </c>
      <c r="E15" s="10" t="s">
        <v>45</v>
      </c>
      <c r="F15" s="11" t="s">
        <v>71</v>
      </c>
    </row>
    <row r="16" customFormat="false" ht="15" hidden="false" customHeight="true" outlineLevel="0" collapsed="false">
      <c r="A16" s="10" t="n">
        <v>12</v>
      </c>
      <c r="B16" s="11" t="s">
        <v>72</v>
      </c>
      <c r="C16" s="10" t="n">
        <v>2</v>
      </c>
      <c r="D16" s="10" t="s">
        <v>48</v>
      </c>
      <c r="E16" s="10" t="s">
        <v>49</v>
      </c>
      <c r="F16" s="11" t="s">
        <v>73</v>
      </c>
    </row>
    <row r="18" customFormat="false" ht="15" hidden="false" customHeight="true" outlineLevel="0" collapsed="false">
      <c r="A18" s="14" t="s">
        <v>74</v>
      </c>
      <c r="B18" s="14"/>
      <c r="C18" s="14"/>
      <c r="D18" s="14"/>
      <c r="E18" s="14"/>
      <c r="F18" s="14"/>
    </row>
    <row r="19" customFormat="false" ht="15" hidden="false" customHeight="true" outlineLevel="0" collapsed="false">
      <c r="B19" s="15" t="s">
        <v>75</v>
      </c>
      <c r="C19" s="16" t="n">
        <f aca="false">SUM(C5:C16)</f>
        <v>60</v>
      </c>
      <c r="D19" s="17" t="s">
        <v>76</v>
      </c>
    </row>
    <row r="20" customFormat="false" ht="15" hidden="false" customHeight="true" outlineLevel="0" collapsed="false">
      <c r="B20" s="15" t="s">
        <v>77</v>
      </c>
      <c r="C20" s="18" t="n">
        <v>37</v>
      </c>
      <c r="D20" s="17" t="s">
        <v>76</v>
      </c>
    </row>
    <row r="21" customFormat="false" ht="15" hidden="false" customHeight="true" outlineLevel="0" collapsed="false">
      <c r="B21" s="15" t="s">
        <v>78</v>
      </c>
      <c r="C21" s="16" t="n">
        <f aca="false">C19+C20</f>
        <v>97</v>
      </c>
      <c r="D21" s="17" t="s">
        <v>76</v>
      </c>
    </row>
    <row r="22" customFormat="false" ht="15" hidden="false" customHeight="true" outlineLevel="0" collapsed="false">
      <c r="B22" s="15" t="s">
        <v>79</v>
      </c>
      <c r="C22" s="19" t="n">
        <f aca="false">C19/C21</f>
        <v>0.618556701030928</v>
      </c>
      <c r="D22" s="17" t="s">
        <v>80</v>
      </c>
    </row>
    <row r="24" customFormat="false" ht="15" hidden="false" customHeight="true" outlineLevel="0" collapsed="false">
      <c r="A24" s="20" t="s">
        <v>81</v>
      </c>
      <c r="B24" s="20"/>
      <c r="C24" s="20"/>
      <c r="D24" s="20"/>
      <c r="E24" s="20"/>
      <c r="F24" s="20"/>
    </row>
    <row r="25" customFormat="false" ht="19.5" hidden="false" customHeight="true" outlineLevel="0" collapsed="false">
      <c r="A25" s="3" t="s">
        <v>37</v>
      </c>
      <c r="B25" s="3" t="s">
        <v>82</v>
      </c>
      <c r="C25" s="3" t="s">
        <v>83</v>
      </c>
      <c r="D25" s="3" t="s">
        <v>84</v>
      </c>
      <c r="E25" s="3" t="s">
        <v>40</v>
      </c>
      <c r="F25" s="3" t="s">
        <v>85</v>
      </c>
    </row>
    <row r="26" customFormat="false" ht="15" hidden="false" customHeight="true" outlineLevel="0" collapsed="false">
      <c r="A26" s="21" t="n">
        <v>1</v>
      </c>
      <c r="B26" s="5" t="s">
        <v>43</v>
      </c>
      <c r="C26" s="21" t="n">
        <f aca="false">C5</f>
        <v>2</v>
      </c>
      <c r="D26" s="22" t="n">
        <f aca="false">C26/C$19*100</f>
        <v>3.33333333333333</v>
      </c>
      <c r="E26" s="21" t="s">
        <v>44</v>
      </c>
      <c r="F26" s="21" t="s">
        <v>86</v>
      </c>
    </row>
    <row r="27" customFormat="false" ht="15" hidden="false" customHeight="true" outlineLevel="0" collapsed="false">
      <c r="A27" s="21" t="n">
        <v>2</v>
      </c>
      <c r="B27" s="5" t="s">
        <v>47</v>
      </c>
      <c r="C27" s="21" t="n">
        <f aca="false">C6</f>
        <v>3</v>
      </c>
      <c r="D27" s="22" t="n">
        <f aca="false">C27/C$19*100</f>
        <v>5</v>
      </c>
      <c r="E27" s="21" t="s">
        <v>48</v>
      </c>
      <c r="F27" s="21" t="s">
        <v>86</v>
      </c>
    </row>
    <row r="28" customFormat="false" ht="15" hidden="false" customHeight="true" outlineLevel="0" collapsed="false">
      <c r="A28" s="21" t="n">
        <v>3</v>
      </c>
      <c r="B28" s="5" t="s">
        <v>51</v>
      </c>
      <c r="C28" s="21" t="n">
        <f aca="false">C7</f>
        <v>4</v>
      </c>
      <c r="D28" s="22" t="n">
        <f aca="false">C28/C$19*100</f>
        <v>6.66666666666667</v>
      </c>
      <c r="E28" s="21" t="s">
        <v>44</v>
      </c>
      <c r="F28" s="21" t="s">
        <v>86</v>
      </c>
    </row>
    <row r="29" customFormat="false" ht="15" hidden="false" customHeight="true" outlineLevel="0" collapsed="false">
      <c r="A29" s="12" t="n">
        <v>4</v>
      </c>
      <c r="B29" s="6" t="s">
        <v>53</v>
      </c>
      <c r="C29" s="12" t="n">
        <f aca="false">C8</f>
        <v>6</v>
      </c>
      <c r="D29" s="23" t="n">
        <f aca="false">C29/C$19*100</f>
        <v>10</v>
      </c>
      <c r="E29" s="12" t="s">
        <v>44</v>
      </c>
      <c r="F29" s="12" t="s">
        <v>87</v>
      </c>
    </row>
    <row r="30" customFormat="false" ht="15" hidden="false" customHeight="true" outlineLevel="0" collapsed="false">
      <c r="A30" s="21" t="n">
        <v>5</v>
      </c>
      <c r="B30" s="5" t="s">
        <v>55</v>
      </c>
      <c r="C30" s="21" t="n">
        <f aca="false">C9</f>
        <v>5</v>
      </c>
      <c r="D30" s="22" t="n">
        <f aca="false">C30/C$19*100</f>
        <v>8.33333333333333</v>
      </c>
      <c r="E30" s="21" t="s">
        <v>48</v>
      </c>
      <c r="F30" s="21" t="s">
        <v>86</v>
      </c>
    </row>
    <row r="31" customFormat="false" ht="15" hidden="false" customHeight="true" outlineLevel="0" collapsed="false">
      <c r="A31" s="21" t="n">
        <v>6</v>
      </c>
      <c r="B31" s="5" t="s">
        <v>58</v>
      </c>
      <c r="C31" s="21" t="n">
        <f aca="false">C10</f>
        <v>5</v>
      </c>
      <c r="D31" s="22" t="n">
        <f aca="false">C31/C$19*100</f>
        <v>8.33333333333333</v>
      </c>
      <c r="E31" s="21" t="s">
        <v>48</v>
      </c>
      <c r="F31" s="21" t="s">
        <v>86</v>
      </c>
    </row>
    <row r="32" customFormat="false" ht="15" hidden="false" customHeight="true" outlineLevel="0" collapsed="false">
      <c r="A32" s="12" t="n">
        <v>7</v>
      </c>
      <c r="B32" s="6" t="s">
        <v>60</v>
      </c>
      <c r="C32" s="12" t="n">
        <f aca="false">C11</f>
        <v>8</v>
      </c>
      <c r="D32" s="23" t="n">
        <f aca="false">C32/C$19*100</f>
        <v>13.3333333333333</v>
      </c>
      <c r="E32" s="12" t="s">
        <v>61</v>
      </c>
      <c r="F32" s="12" t="s">
        <v>87</v>
      </c>
    </row>
    <row r="33" customFormat="false" ht="15" hidden="false" customHeight="true" outlineLevel="0" collapsed="false">
      <c r="A33" s="24" t="n">
        <v>8</v>
      </c>
      <c r="B33" s="25" t="s">
        <v>63</v>
      </c>
      <c r="C33" s="24" t="n">
        <f aca="false">C12</f>
        <v>10</v>
      </c>
      <c r="D33" s="26" t="n">
        <f aca="false">C33/C$19*100</f>
        <v>16.6666666666667</v>
      </c>
      <c r="E33" s="24" t="s">
        <v>64</v>
      </c>
      <c r="F33" s="24" t="s">
        <v>88</v>
      </c>
    </row>
    <row r="34" customFormat="false" ht="15" hidden="false" customHeight="true" outlineLevel="0" collapsed="false">
      <c r="A34" s="21" t="n">
        <v>9</v>
      </c>
      <c r="B34" s="5" t="s">
        <v>66</v>
      </c>
      <c r="C34" s="21" t="n">
        <f aca="false">C13</f>
        <v>4</v>
      </c>
      <c r="D34" s="22" t="n">
        <f aca="false">C34/C$19*100</f>
        <v>6.66666666666667</v>
      </c>
      <c r="E34" s="21" t="s">
        <v>61</v>
      </c>
      <c r="F34" s="21" t="s">
        <v>86</v>
      </c>
    </row>
    <row r="35" customFormat="false" ht="15" hidden="false" customHeight="true" outlineLevel="0" collapsed="false">
      <c r="A35" s="12" t="n">
        <v>10</v>
      </c>
      <c r="B35" s="6" t="s">
        <v>68</v>
      </c>
      <c r="C35" s="12" t="n">
        <f aca="false">C14</f>
        <v>6</v>
      </c>
      <c r="D35" s="23" t="n">
        <f aca="false">C35/C$19*100</f>
        <v>10</v>
      </c>
      <c r="E35" s="12" t="s">
        <v>44</v>
      </c>
      <c r="F35" s="12" t="s">
        <v>87</v>
      </c>
    </row>
    <row r="36" customFormat="false" ht="15" hidden="false" customHeight="true" outlineLevel="0" collapsed="false">
      <c r="A36" s="21" t="n">
        <v>11</v>
      </c>
      <c r="B36" s="5" t="s">
        <v>70</v>
      </c>
      <c r="C36" s="21" t="n">
        <f aca="false">C15</f>
        <v>5</v>
      </c>
      <c r="D36" s="22" t="n">
        <f aca="false">C36/C$19*100</f>
        <v>8.33333333333333</v>
      </c>
      <c r="E36" s="21" t="s">
        <v>44</v>
      </c>
      <c r="F36" s="21" t="s">
        <v>86</v>
      </c>
    </row>
    <row r="37" customFormat="false" ht="15" hidden="false" customHeight="true" outlineLevel="0" collapsed="false">
      <c r="A37" s="21" t="n">
        <v>12</v>
      </c>
      <c r="B37" s="5" t="s">
        <v>72</v>
      </c>
      <c r="C37" s="21" t="n">
        <f aca="false">C16</f>
        <v>2</v>
      </c>
      <c r="D37" s="22" t="n">
        <f aca="false">C37/C$19*100</f>
        <v>3.33333333333333</v>
      </c>
      <c r="E37" s="21" t="s">
        <v>48</v>
      </c>
      <c r="F37" s="21" t="s">
        <v>86</v>
      </c>
    </row>
  </sheetData>
  <mergeCells count="4">
    <mergeCell ref="A1:F1"/>
    <mergeCell ref="A2:F2"/>
    <mergeCell ref="A18:F18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20"/>
  </cols>
  <sheetData>
    <row r="1" customFormat="false" ht="30" hidden="false" customHeight="true" outlineLevel="0" collapsed="false">
      <c r="A1" s="2" t="s">
        <v>89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9" t="s">
        <v>90</v>
      </c>
      <c r="B2" s="9"/>
      <c r="C2" s="9"/>
      <c r="D2" s="9"/>
      <c r="E2" s="9"/>
      <c r="F2" s="9"/>
    </row>
    <row r="4" customFormat="false" ht="15" hidden="false" customHeight="true" outlineLevel="0" collapsed="false">
      <c r="A4" s="14" t="s">
        <v>91</v>
      </c>
      <c r="B4" s="14"/>
      <c r="C4" s="14"/>
      <c r="D4" s="14"/>
      <c r="E4" s="14"/>
      <c r="F4" s="14"/>
    </row>
    <row r="5" customFormat="false" ht="19.5" hidden="false" customHeight="true" outlineLevel="0" collapsed="false">
      <c r="B5" s="27" t="s">
        <v>92</v>
      </c>
      <c r="C5" s="27" t="s">
        <v>93</v>
      </c>
      <c r="D5" s="27" t="s">
        <v>94</v>
      </c>
      <c r="E5" s="27" t="s">
        <v>42</v>
      </c>
    </row>
    <row r="6" customFormat="false" ht="15" hidden="false" customHeight="true" outlineLevel="0" collapsed="false">
      <c r="B6" s="15" t="s">
        <v>95</v>
      </c>
      <c r="C6" s="18" t="n">
        <v>500</v>
      </c>
      <c r="D6" s="17" t="s">
        <v>96</v>
      </c>
      <c r="E6" s="28" t="s">
        <v>97</v>
      </c>
    </row>
    <row r="7" customFormat="false" ht="15" hidden="false" customHeight="true" outlineLevel="0" collapsed="false">
      <c r="B7" s="15" t="s">
        <v>98</v>
      </c>
      <c r="C7" s="18" t="n">
        <v>53</v>
      </c>
      <c r="D7" s="17" t="s">
        <v>99</v>
      </c>
      <c r="E7" s="28" t="s">
        <v>100</v>
      </c>
    </row>
    <row r="8" customFormat="false" ht="15" hidden="false" customHeight="true" outlineLevel="0" collapsed="false">
      <c r="B8" s="15" t="s">
        <v>101</v>
      </c>
      <c r="C8" s="18" t="n">
        <v>480</v>
      </c>
      <c r="D8" s="17" t="s">
        <v>76</v>
      </c>
      <c r="E8" s="28" t="s">
        <v>102</v>
      </c>
    </row>
    <row r="9" customFormat="false" ht="15" hidden="false" customHeight="true" outlineLevel="0" collapsed="false">
      <c r="B9" s="15" t="s">
        <v>103</v>
      </c>
      <c r="C9" s="29" t="n">
        <v>0.85</v>
      </c>
      <c r="D9" s="17" t="s">
        <v>80</v>
      </c>
      <c r="E9" s="28" t="s">
        <v>104</v>
      </c>
    </row>
    <row r="10" customFormat="false" ht="23.25" hidden="false" customHeight="true" outlineLevel="0" collapsed="false">
      <c r="B10" s="15" t="s">
        <v>105</v>
      </c>
      <c r="C10" s="18" t="n">
        <v>60</v>
      </c>
      <c r="D10" s="17" t="s">
        <v>106</v>
      </c>
      <c r="E10" s="28" t="s">
        <v>107</v>
      </c>
    </row>
    <row r="11" customFormat="false" ht="15" hidden="false" customHeight="true" outlineLevel="0" collapsed="false">
      <c r="B11" s="15" t="s">
        <v>108</v>
      </c>
      <c r="C11" s="18" t="n">
        <v>24</v>
      </c>
      <c r="D11" s="17" t="s">
        <v>109</v>
      </c>
      <c r="E11" s="28" t="s">
        <v>110</v>
      </c>
    </row>
    <row r="13" customFormat="false" ht="15" hidden="false" customHeight="true" outlineLevel="0" collapsed="false">
      <c r="A13" s="30" t="s">
        <v>111</v>
      </c>
      <c r="B13" s="30"/>
      <c r="C13" s="30"/>
      <c r="D13" s="30"/>
      <c r="E13" s="30"/>
      <c r="F13" s="30"/>
    </row>
    <row r="14" customFormat="false" ht="19.5" hidden="false" customHeight="true" outlineLevel="0" collapsed="false">
      <c r="B14" s="31" t="s">
        <v>112</v>
      </c>
      <c r="C14" s="31" t="s">
        <v>93</v>
      </c>
      <c r="D14" s="31" t="s">
        <v>94</v>
      </c>
      <c r="E14" s="31" t="s">
        <v>113</v>
      </c>
    </row>
    <row r="15" customFormat="false" ht="15" hidden="false" customHeight="true" outlineLevel="0" collapsed="false">
      <c r="B15" s="32" t="s">
        <v>114</v>
      </c>
      <c r="C15" s="33" t="n">
        <f aca="false">C8*C9</f>
        <v>408</v>
      </c>
      <c r="D15" s="17" t="s">
        <v>76</v>
      </c>
      <c r="E15" s="28" t="s">
        <v>115</v>
      </c>
    </row>
    <row r="16" customFormat="false" ht="15" hidden="false" customHeight="true" outlineLevel="0" collapsed="false">
      <c r="B16" s="32" t="s">
        <v>116</v>
      </c>
      <c r="C16" s="34" t="n">
        <f aca="false">C6*C7</f>
        <v>26500</v>
      </c>
      <c r="D16" s="17" t="s">
        <v>117</v>
      </c>
      <c r="E16" s="28" t="s">
        <v>118</v>
      </c>
    </row>
    <row r="17" customFormat="false" ht="15" hidden="false" customHeight="true" outlineLevel="0" collapsed="false">
      <c r="B17" s="32" t="s">
        <v>119</v>
      </c>
      <c r="C17" s="34" t="n">
        <f aca="false">C10*C15</f>
        <v>24480</v>
      </c>
      <c r="D17" s="17" t="s">
        <v>117</v>
      </c>
      <c r="E17" s="28" t="s">
        <v>120</v>
      </c>
    </row>
    <row r="18" customFormat="false" ht="15" hidden="false" customHeight="true" outlineLevel="0" collapsed="false">
      <c r="B18" s="32" t="s">
        <v>121</v>
      </c>
      <c r="C18" s="35" t="n">
        <f aca="false">C16/C17</f>
        <v>1.08251633986928</v>
      </c>
      <c r="D18" s="17" t="s">
        <v>80</v>
      </c>
      <c r="E18" s="28" t="s">
        <v>122</v>
      </c>
    </row>
    <row r="19" customFormat="false" ht="15" hidden="false" customHeight="true" outlineLevel="0" collapsed="false">
      <c r="B19" s="32" t="s">
        <v>123</v>
      </c>
      <c r="C19" s="34" t="n">
        <f aca="false">MAX(0,C16-C17)</f>
        <v>2020</v>
      </c>
      <c r="D19" s="17" t="s">
        <v>76</v>
      </c>
      <c r="E19" s="28" t="s">
        <v>124</v>
      </c>
    </row>
    <row r="20" customFormat="false" ht="15" hidden="false" customHeight="true" outlineLevel="0" collapsed="false">
      <c r="B20" s="32" t="s">
        <v>125</v>
      </c>
      <c r="C20" s="33" t="n">
        <f aca="false">MAX(0,(C16-C17)/C7)</f>
        <v>38.1132075471698</v>
      </c>
      <c r="D20" s="17" t="s">
        <v>126</v>
      </c>
      <c r="E20" s="28" t="s">
        <v>127</v>
      </c>
    </row>
    <row r="21" customFormat="false" ht="15" hidden="false" customHeight="true" outlineLevel="0" collapsed="false">
      <c r="B21" s="32" t="s">
        <v>128</v>
      </c>
      <c r="C21" s="33" t="n">
        <f aca="false">C17/C7</f>
        <v>461.88679245283</v>
      </c>
      <c r="D21" s="17" t="s">
        <v>126</v>
      </c>
      <c r="E21" s="28" t="s">
        <v>129</v>
      </c>
    </row>
    <row r="22" customFormat="false" ht="15" hidden="false" customHeight="true" outlineLevel="0" collapsed="false">
      <c r="B22" s="32" t="s">
        <v>130</v>
      </c>
      <c r="C22" s="10" t="n">
        <f aca="false">ROUNDUP(C16/C15,0)</f>
        <v>65</v>
      </c>
      <c r="D22" s="17" t="s">
        <v>106</v>
      </c>
      <c r="E22" s="28" t="s">
        <v>131</v>
      </c>
    </row>
    <row r="25" customFormat="false" ht="15" hidden="false" customHeight="true" outlineLevel="0" collapsed="false">
      <c r="A25" s="36" t="s">
        <v>132</v>
      </c>
      <c r="B25" s="36"/>
      <c r="C25" s="36"/>
      <c r="D25" s="36"/>
      <c r="E25" s="36"/>
      <c r="F25" s="36"/>
    </row>
    <row r="26" customFormat="false" ht="19.5" hidden="false" customHeight="true" outlineLevel="0" collapsed="false">
      <c r="B26" s="3" t="s">
        <v>133</v>
      </c>
      <c r="C26" s="3" t="s">
        <v>134</v>
      </c>
      <c r="D26" s="3" t="s">
        <v>135</v>
      </c>
      <c r="E26" s="3" t="s">
        <v>136</v>
      </c>
      <c r="F26" s="3" t="s">
        <v>137</v>
      </c>
    </row>
    <row r="27" customFormat="false" ht="15" hidden="false" customHeight="true" outlineLevel="0" collapsed="false">
      <c r="B27" s="37" t="n">
        <v>50</v>
      </c>
      <c r="C27" s="34" t="n">
        <f aca="false">50*C15</f>
        <v>20400</v>
      </c>
      <c r="D27" s="35" t="n">
        <f aca="false">C16/C27</f>
        <v>1.29901960784314</v>
      </c>
      <c r="E27" s="33" t="n">
        <f aca="false">MAX(0,(C16-C27)/C7)</f>
        <v>115.094339622642</v>
      </c>
      <c r="F27" s="10" t="str">
        <f aca="false">IF(D27&gt;=1,"🔴 SLA Breach","🟢 On Track")</f>
        <v>🔴 SLA Breach</v>
      </c>
    </row>
    <row r="28" customFormat="false" ht="15" hidden="false" customHeight="true" outlineLevel="0" collapsed="false">
      <c r="B28" s="37" t="n">
        <v>52</v>
      </c>
      <c r="C28" s="34" t="n">
        <f aca="false">52*C15</f>
        <v>21216</v>
      </c>
      <c r="D28" s="35" t="n">
        <f aca="false">C16/C28</f>
        <v>1.24905731523379</v>
      </c>
      <c r="E28" s="33" t="n">
        <f aca="false">MAX(0,(C16-C28)/C7)</f>
        <v>99.6981132075472</v>
      </c>
      <c r="F28" s="10" t="str">
        <f aca="false">IF(D28&gt;=1,"🔴 SLA Breach","🟢 On Track")</f>
        <v>🔴 SLA Breach</v>
      </c>
    </row>
    <row r="29" customFormat="false" ht="15" hidden="false" customHeight="true" outlineLevel="0" collapsed="false">
      <c r="B29" s="37" t="n">
        <v>55</v>
      </c>
      <c r="C29" s="34" t="n">
        <f aca="false">55*C15</f>
        <v>22440</v>
      </c>
      <c r="D29" s="35" t="n">
        <f aca="false">C16/C29</f>
        <v>1.18092691622103</v>
      </c>
      <c r="E29" s="33" t="n">
        <f aca="false">MAX(0,(C16-C29)/C7)</f>
        <v>76.6037735849057</v>
      </c>
      <c r="F29" s="10" t="str">
        <f aca="false">IF(D29&gt;=1,"🔴 SLA Breach","🟢 On Track")</f>
        <v>🔴 SLA Breach</v>
      </c>
    </row>
    <row r="30" customFormat="false" ht="15" hidden="false" customHeight="true" outlineLevel="0" collapsed="false">
      <c r="B30" s="37" t="n">
        <v>57</v>
      </c>
      <c r="C30" s="34" t="n">
        <f aca="false">57*C15</f>
        <v>23256</v>
      </c>
      <c r="D30" s="35" t="n">
        <f aca="false">C16/C30</f>
        <v>1.13949088407293</v>
      </c>
      <c r="E30" s="33" t="n">
        <f aca="false">MAX(0,(C16-C30)/C7)</f>
        <v>61.2075471698113</v>
      </c>
      <c r="F30" s="10" t="str">
        <f aca="false">IF(D30&gt;=1,"🔴 SLA Breach","🟢 On Track")</f>
        <v>🔴 SLA Breach</v>
      </c>
    </row>
    <row r="31" customFormat="false" ht="15" hidden="false" customHeight="true" outlineLevel="0" collapsed="false">
      <c r="B31" s="37" t="n">
        <v>60</v>
      </c>
      <c r="C31" s="34" t="n">
        <f aca="false">60*C15</f>
        <v>24480</v>
      </c>
      <c r="D31" s="35" t="n">
        <f aca="false">C16/C31</f>
        <v>1.08251633986928</v>
      </c>
      <c r="E31" s="33" t="n">
        <f aca="false">MAX(0,(C16-C31)/C7)</f>
        <v>38.1132075471698</v>
      </c>
      <c r="F31" s="10" t="str">
        <f aca="false">IF(D31&gt;=1,"🔴 SLA Breach","🟢 On Track")</f>
        <v>🔴 SLA Breach</v>
      </c>
    </row>
    <row r="32" customFormat="false" ht="15" hidden="false" customHeight="true" outlineLevel="0" collapsed="false">
      <c r="B32" s="37" t="n">
        <v>62</v>
      </c>
      <c r="C32" s="34" t="n">
        <f aca="false">62*C15</f>
        <v>25296</v>
      </c>
      <c r="D32" s="35" t="n">
        <f aca="false">C16/C32</f>
        <v>1.04759645793801</v>
      </c>
      <c r="E32" s="33" t="n">
        <f aca="false">MAX(0,(C16-C32)/C7)</f>
        <v>22.7169811320755</v>
      </c>
      <c r="F32" s="10" t="str">
        <f aca="false">IF(D32&gt;=1,"🔴 SLA Breach","🟢 On Track")</f>
        <v>🔴 SLA Breach</v>
      </c>
    </row>
    <row r="33" customFormat="false" ht="15" hidden="false" customHeight="true" outlineLevel="0" collapsed="false">
      <c r="B33" s="37" t="n">
        <v>65</v>
      </c>
      <c r="C33" s="34" t="n">
        <f aca="false">65*C15</f>
        <v>26520</v>
      </c>
      <c r="D33" s="35" t="n">
        <f aca="false">C16/C33</f>
        <v>0.999245852187029</v>
      </c>
      <c r="E33" s="33" t="n">
        <f aca="false">MAX(0,(C16-C33)/C7)</f>
        <v>0</v>
      </c>
      <c r="F33" s="10" t="str">
        <f aca="false">IF(D33&gt;=1,"🔴 SLA Breach","🟢 On Track")</f>
        <v>🟢 On Track</v>
      </c>
    </row>
  </sheetData>
  <mergeCells count="5">
    <mergeCell ref="A1:F1"/>
    <mergeCell ref="A2:F2"/>
    <mergeCell ref="A4:F4"/>
    <mergeCell ref="A13:F13"/>
    <mergeCell ref="A25:F25"/>
  </mergeCells>
  <conditionalFormatting sqref="C18">
    <cfRule type="cellIs" priority="2" operator="greaterThanOrEqual" aboveAverage="0" equalAverage="0" bottom="0" percent="0" rank="0" text="" dxfId="0">
      <formula>1</formula>
    </cfRule>
    <cfRule type="cellIs" priority="3" operator="lessThan" aboveAverage="0" equalAverage="0" bottom="0" percent="0" rank="0" text="" dxfId="1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5" min="3" style="1" width="16"/>
    <col collapsed="false" customWidth="true" hidden="false" outlineLevel="0" max="6" min="6" style="1" width="14"/>
    <col collapsed="false" customWidth="true" hidden="false" outlineLevel="0" max="7" min="7" style="1" width="22"/>
  </cols>
  <sheetData>
    <row r="1" customFormat="false" ht="30" hidden="false" customHeight="true" outlineLevel="0" collapsed="false">
      <c r="A1" s="2" t="s">
        <v>138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9" t="s">
        <v>139</v>
      </c>
      <c r="B2" s="9"/>
      <c r="C2" s="9"/>
      <c r="D2" s="9"/>
      <c r="E2" s="9"/>
      <c r="F2" s="9"/>
      <c r="G2" s="9"/>
    </row>
    <row r="4" customFormat="false" ht="15" hidden="false" customHeight="true" outlineLevel="0" collapsed="false">
      <c r="A4" s="30" t="s">
        <v>140</v>
      </c>
      <c r="B4" s="30"/>
      <c r="C4" s="30"/>
      <c r="D4" s="30"/>
      <c r="E4" s="30"/>
      <c r="F4" s="30"/>
      <c r="G4" s="30"/>
    </row>
    <row r="5" customFormat="false" ht="19.5" hidden="false" customHeight="true" outlineLevel="0" collapsed="false">
      <c r="B5" s="31" t="s">
        <v>141</v>
      </c>
      <c r="C5" s="31" t="s">
        <v>142</v>
      </c>
      <c r="D5" s="31" t="s">
        <v>143</v>
      </c>
    </row>
    <row r="6" customFormat="false" ht="23.25" hidden="false" customHeight="true" outlineLevel="0" collapsed="false">
      <c r="B6" s="5" t="s">
        <v>144</v>
      </c>
      <c r="C6" s="5" t="s">
        <v>145</v>
      </c>
      <c r="D6" s="5" t="s">
        <v>146</v>
      </c>
    </row>
    <row r="7" customFormat="false" ht="23.25" hidden="false" customHeight="true" outlineLevel="0" collapsed="false">
      <c r="B7" s="5" t="s">
        <v>147</v>
      </c>
      <c r="C7" s="5" t="s">
        <v>148</v>
      </c>
      <c r="D7" s="5" t="s">
        <v>149</v>
      </c>
    </row>
    <row r="8" customFormat="false" ht="23.25" hidden="false" customHeight="true" outlineLevel="0" collapsed="false">
      <c r="B8" s="5" t="s">
        <v>150</v>
      </c>
      <c r="C8" s="5" t="s">
        <v>151</v>
      </c>
      <c r="D8" s="5" t="s">
        <v>152</v>
      </c>
    </row>
    <row r="9" customFormat="false" ht="23.25" hidden="false" customHeight="true" outlineLevel="0" collapsed="false">
      <c r="B9" s="5" t="s">
        <v>153</v>
      </c>
      <c r="C9" s="5" t="s">
        <v>154</v>
      </c>
      <c r="D9" s="5" t="s">
        <v>155</v>
      </c>
    </row>
    <row r="11" customFormat="false" ht="15" hidden="false" customHeight="true" outlineLevel="0" collapsed="false">
      <c r="A11" s="14" t="s">
        <v>156</v>
      </c>
      <c r="B11" s="14"/>
      <c r="C11" s="14"/>
      <c r="D11" s="14"/>
      <c r="E11" s="14"/>
      <c r="F11" s="14"/>
      <c r="G11" s="14"/>
    </row>
    <row r="12" customFormat="false" ht="19.5" hidden="false" customHeight="true" outlineLevel="0" collapsed="false">
      <c r="A12" s="3" t="s">
        <v>37</v>
      </c>
      <c r="B12" s="3" t="s">
        <v>38</v>
      </c>
      <c r="C12" s="3" t="s">
        <v>157</v>
      </c>
      <c r="D12" s="3" t="s">
        <v>158</v>
      </c>
      <c r="E12" s="3" t="s">
        <v>159</v>
      </c>
      <c r="F12" s="3" t="s">
        <v>40</v>
      </c>
      <c r="G12" s="3" t="s">
        <v>160</v>
      </c>
    </row>
    <row r="13" customFormat="false" ht="15" hidden="false" customHeight="true" outlineLevel="0" collapsed="false">
      <c r="A13" s="10" t="n">
        <v>1</v>
      </c>
      <c r="B13" s="11" t="s">
        <v>43</v>
      </c>
      <c r="C13" s="10" t="n">
        <v>2</v>
      </c>
      <c r="D13" s="10" t="n">
        <v>2</v>
      </c>
      <c r="E13" s="10" t="n">
        <v>0</v>
      </c>
      <c r="F13" s="10" t="s">
        <v>44</v>
      </c>
      <c r="G13" s="11" t="s">
        <v>161</v>
      </c>
    </row>
    <row r="14" customFormat="false" ht="15" hidden="false" customHeight="true" outlineLevel="0" collapsed="false">
      <c r="A14" s="10" t="n">
        <v>2</v>
      </c>
      <c r="B14" s="11" t="s">
        <v>47</v>
      </c>
      <c r="C14" s="10" t="n">
        <v>3</v>
      </c>
      <c r="D14" s="10" t="n">
        <v>3</v>
      </c>
      <c r="E14" s="10" t="n">
        <v>0</v>
      </c>
      <c r="F14" s="10" t="s">
        <v>48</v>
      </c>
      <c r="G14" s="11" t="s">
        <v>161</v>
      </c>
    </row>
    <row r="15" customFormat="false" ht="15" hidden="false" customHeight="true" outlineLevel="0" collapsed="false">
      <c r="A15" s="10" t="n">
        <v>3</v>
      </c>
      <c r="B15" s="11" t="s">
        <v>51</v>
      </c>
      <c r="C15" s="10" t="n">
        <v>4</v>
      </c>
      <c r="D15" s="10" t="n">
        <v>4</v>
      </c>
      <c r="E15" s="10" t="n">
        <v>0</v>
      </c>
      <c r="F15" s="10" t="s">
        <v>44</v>
      </c>
      <c r="G15" s="11" t="s">
        <v>161</v>
      </c>
    </row>
    <row r="16" customFormat="false" ht="15" hidden="false" customHeight="true" outlineLevel="0" collapsed="false">
      <c r="A16" s="38" t="n">
        <v>4</v>
      </c>
      <c r="B16" s="39" t="s">
        <v>53</v>
      </c>
      <c r="C16" s="38" t="n">
        <v>6</v>
      </c>
      <c r="D16" s="38" t="n">
        <v>4</v>
      </c>
      <c r="E16" s="38" t="n">
        <v>2</v>
      </c>
      <c r="F16" s="38" t="s">
        <v>44</v>
      </c>
      <c r="G16" s="39" t="s">
        <v>162</v>
      </c>
    </row>
    <row r="17" customFormat="false" ht="15" hidden="false" customHeight="true" outlineLevel="0" collapsed="false">
      <c r="A17" s="10" t="n">
        <v>5</v>
      </c>
      <c r="B17" s="11" t="s">
        <v>55</v>
      </c>
      <c r="C17" s="10" t="n">
        <v>5</v>
      </c>
      <c r="D17" s="10" t="n">
        <v>5</v>
      </c>
      <c r="E17" s="10" t="n">
        <v>0</v>
      </c>
      <c r="F17" s="10" t="s">
        <v>48</v>
      </c>
      <c r="G17" s="11" t="s">
        <v>163</v>
      </c>
    </row>
    <row r="18" customFormat="false" ht="23.25" hidden="false" customHeight="true" outlineLevel="0" collapsed="false">
      <c r="A18" s="38" t="n">
        <v>6</v>
      </c>
      <c r="B18" s="39" t="s">
        <v>58</v>
      </c>
      <c r="C18" s="38" t="n">
        <v>5</v>
      </c>
      <c r="D18" s="38" t="n">
        <v>0</v>
      </c>
      <c r="E18" s="38" t="n">
        <v>5</v>
      </c>
      <c r="F18" s="38" t="s">
        <v>48</v>
      </c>
      <c r="G18" s="39" t="s">
        <v>164</v>
      </c>
    </row>
    <row r="19" customFormat="false" ht="15" hidden="false" customHeight="true" outlineLevel="0" collapsed="false">
      <c r="A19" s="38" t="n">
        <v>7</v>
      </c>
      <c r="B19" s="39" t="s">
        <v>60</v>
      </c>
      <c r="C19" s="38" t="n">
        <v>8</v>
      </c>
      <c r="D19" s="38" t="n">
        <v>7</v>
      </c>
      <c r="E19" s="38" t="n">
        <v>1</v>
      </c>
      <c r="F19" s="38" t="s">
        <v>61</v>
      </c>
      <c r="G19" s="39" t="s">
        <v>165</v>
      </c>
    </row>
    <row r="20" customFormat="false" ht="15" hidden="false" customHeight="true" outlineLevel="0" collapsed="false">
      <c r="A20" s="38" t="n">
        <v>8</v>
      </c>
      <c r="B20" s="39" t="s">
        <v>63</v>
      </c>
      <c r="C20" s="38" t="n">
        <v>10</v>
      </c>
      <c r="D20" s="38" t="n">
        <v>6</v>
      </c>
      <c r="E20" s="38" t="n">
        <v>4</v>
      </c>
      <c r="F20" s="38" t="s">
        <v>64</v>
      </c>
      <c r="G20" s="39" t="s">
        <v>166</v>
      </c>
    </row>
    <row r="21" customFormat="false" ht="15" hidden="false" customHeight="true" outlineLevel="0" collapsed="false">
      <c r="A21" s="10" t="n">
        <v>9</v>
      </c>
      <c r="B21" s="11" t="s">
        <v>66</v>
      </c>
      <c r="C21" s="10" t="n">
        <v>4</v>
      </c>
      <c r="D21" s="10" t="n">
        <v>4</v>
      </c>
      <c r="E21" s="10" t="n">
        <v>0</v>
      </c>
      <c r="F21" s="10" t="s">
        <v>61</v>
      </c>
      <c r="G21" s="11" t="s">
        <v>161</v>
      </c>
    </row>
    <row r="22" customFormat="false" ht="15" hidden="false" customHeight="true" outlineLevel="0" collapsed="false">
      <c r="A22" s="10" t="n">
        <v>10</v>
      </c>
      <c r="B22" s="11" t="s">
        <v>68</v>
      </c>
      <c r="C22" s="10" t="n">
        <v>6</v>
      </c>
      <c r="D22" s="10" t="n">
        <v>6</v>
      </c>
      <c r="E22" s="10" t="n">
        <v>0</v>
      </c>
      <c r="F22" s="10" t="s">
        <v>44</v>
      </c>
      <c r="G22" s="11" t="s">
        <v>161</v>
      </c>
    </row>
    <row r="23" customFormat="false" ht="15" hidden="false" customHeight="true" outlineLevel="0" collapsed="false">
      <c r="A23" s="10" t="n">
        <v>11</v>
      </c>
      <c r="B23" s="11" t="s">
        <v>70</v>
      </c>
      <c r="C23" s="10" t="n">
        <v>5</v>
      </c>
      <c r="D23" s="10" t="n">
        <v>5</v>
      </c>
      <c r="E23" s="10" t="n">
        <v>0</v>
      </c>
      <c r="F23" s="10" t="s">
        <v>44</v>
      </c>
      <c r="G23" s="11" t="s">
        <v>161</v>
      </c>
    </row>
    <row r="24" customFormat="false" ht="15" hidden="false" customHeight="true" outlineLevel="0" collapsed="false">
      <c r="A24" s="10" t="n">
        <v>12</v>
      </c>
      <c r="B24" s="11" t="s">
        <v>72</v>
      </c>
      <c r="C24" s="10" t="n">
        <v>2</v>
      </c>
      <c r="D24" s="10" t="n">
        <v>2</v>
      </c>
      <c r="E24" s="10" t="n">
        <v>0</v>
      </c>
      <c r="F24" s="10" t="s">
        <v>48</v>
      </c>
      <c r="G24" s="11" t="s">
        <v>161</v>
      </c>
    </row>
    <row r="26" customFormat="false" ht="15" hidden="false" customHeight="true" outlineLevel="0" collapsed="false">
      <c r="A26" s="40" t="s">
        <v>167</v>
      </c>
      <c r="B26" s="40"/>
      <c r="C26" s="40"/>
      <c r="D26" s="40"/>
      <c r="E26" s="40"/>
      <c r="F26" s="40"/>
      <c r="G26" s="40"/>
    </row>
    <row r="27" customFormat="false" ht="19.5" hidden="false" customHeight="true" outlineLevel="0" collapsed="false">
      <c r="B27" s="3" t="s">
        <v>112</v>
      </c>
      <c r="C27" s="3" t="s">
        <v>168</v>
      </c>
      <c r="D27" s="3" t="s">
        <v>169</v>
      </c>
      <c r="E27" s="3" t="s">
        <v>170</v>
      </c>
    </row>
    <row r="28" customFormat="false" ht="15" hidden="false" customHeight="true" outlineLevel="0" collapsed="false">
      <c r="B28" s="4" t="s">
        <v>171</v>
      </c>
      <c r="C28" s="13" t="n">
        <v>53</v>
      </c>
      <c r="D28" s="38" t="n">
        <v>45</v>
      </c>
      <c r="E28" s="5" t="s">
        <v>172</v>
      </c>
    </row>
    <row r="29" customFormat="false" ht="15" hidden="false" customHeight="true" outlineLevel="0" collapsed="false">
      <c r="B29" s="4" t="s">
        <v>173</v>
      </c>
      <c r="C29" s="13" t="n">
        <v>90</v>
      </c>
      <c r="D29" s="38" t="n">
        <v>75</v>
      </c>
      <c r="E29" s="5" t="s">
        <v>174</v>
      </c>
    </row>
    <row r="30" customFormat="false" ht="15" hidden="false" customHeight="true" outlineLevel="0" collapsed="false">
      <c r="B30" s="4" t="s">
        <v>175</v>
      </c>
      <c r="C30" s="13" t="n">
        <v>37</v>
      </c>
      <c r="D30" s="38" t="n">
        <v>30</v>
      </c>
      <c r="E30" s="5" t="s">
        <v>176</v>
      </c>
    </row>
    <row r="31" customFormat="false" ht="23.25" hidden="false" customHeight="true" outlineLevel="0" collapsed="false">
      <c r="B31" s="4" t="s">
        <v>177</v>
      </c>
      <c r="C31" s="13" t="n">
        <v>65</v>
      </c>
      <c r="D31" s="38" t="n">
        <v>55</v>
      </c>
      <c r="E31" s="5" t="s">
        <v>178</v>
      </c>
    </row>
  </sheetData>
  <mergeCells count="5">
    <mergeCell ref="A1:G1"/>
    <mergeCell ref="A2:G2"/>
    <mergeCell ref="A4:G4"/>
    <mergeCell ref="A11:G11"/>
    <mergeCell ref="A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20"/>
  </cols>
  <sheetData>
    <row r="1" customFormat="false" ht="30" hidden="false" customHeight="true" outlineLevel="0" collapsed="false">
      <c r="A1" s="2" t="s">
        <v>179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9" t="s">
        <v>180</v>
      </c>
      <c r="B2" s="9"/>
      <c r="C2" s="9"/>
      <c r="D2" s="9"/>
      <c r="E2" s="9"/>
      <c r="F2" s="9"/>
    </row>
    <row r="4" customFormat="false" ht="15" hidden="false" customHeight="true" outlineLevel="0" collapsed="false">
      <c r="A4" s="30" t="s">
        <v>181</v>
      </c>
      <c r="B4" s="30"/>
      <c r="C4" s="30"/>
      <c r="D4" s="30"/>
      <c r="E4" s="30"/>
      <c r="F4" s="30"/>
    </row>
    <row r="5" customFormat="false" ht="19.5" hidden="false" customHeight="true" outlineLevel="0" collapsed="false">
      <c r="B5" s="31" t="s">
        <v>92</v>
      </c>
      <c r="C5" s="31" t="s">
        <v>93</v>
      </c>
      <c r="D5" s="31" t="s">
        <v>94</v>
      </c>
      <c r="E5" s="31" t="s">
        <v>42</v>
      </c>
    </row>
    <row r="6" customFormat="false" ht="15" hidden="false" customHeight="true" outlineLevel="0" collapsed="false">
      <c r="B6" s="15" t="s">
        <v>95</v>
      </c>
      <c r="C6" s="18" t="n">
        <v>500</v>
      </c>
      <c r="D6" s="17" t="s">
        <v>96</v>
      </c>
      <c r="E6" s="28" t="s">
        <v>182</v>
      </c>
    </row>
    <row r="7" customFormat="false" ht="15" hidden="false" customHeight="true" outlineLevel="0" collapsed="false">
      <c r="B7" s="15" t="s">
        <v>183</v>
      </c>
      <c r="C7" s="18" t="n">
        <v>45</v>
      </c>
      <c r="D7" s="17" t="s">
        <v>99</v>
      </c>
      <c r="E7" s="28" t="s">
        <v>184</v>
      </c>
    </row>
    <row r="8" customFormat="false" ht="15" hidden="false" customHeight="true" outlineLevel="0" collapsed="false">
      <c r="B8" s="15" t="s">
        <v>101</v>
      </c>
      <c r="C8" s="18" t="n">
        <v>480</v>
      </c>
      <c r="D8" s="17" t="s">
        <v>76</v>
      </c>
      <c r="E8" s="28" t="s">
        <v>102</v>
      </c>
    </row>
    <row r="9" customFormat="false" ht="15" hidden="false" customHeight="true" outlineLevel="0" collapsed="false">
      <c r="B9" s="15" t="s">
        <v>103</v>
      </c>
      <c r="C9" s="29" t="n">
        <v>0.85</v>
      </c>
      <c r="D9" s="17" t="s">
        <v>80</v>
      </c>
      <c r="E9" s="28" t="s">
        <v>104</v>
      </c>
    </row>
    <row r="10" customFormat="false" ht="15" hidden="false" customHeight="true" outlineLevel="0" collapsed="false">
      <c r="B10" s="15" t="s">
        <v>185</v>
      </c>
      <c r="C10" s="18" t="n">
        <v>55</v>
      </c>
      <c r="D10" s="17" t="s">
        <v>106</v>
      </c>
      <c r="E10" s="28" t="s">
        <v>186</v>
      </c>
    </row>
    <row r="12" customFormat="false" ht="15" hidden="false" customHeight="true" outlineLevel="0" collapsed="false">
      <c r="A12" s="14" t="s">
        <v>187</v>
      </c>
      <c r="B12" s="14"/>
      <c r="C12" s="14"/>
      <c r="D12" s="14"/>
      <c r="E12" s="14"/>
      <c r="F12" s="14"/>
    </row>
    <row r="13" customFormat="false" ht="19.5" hidden="false" customHeight="true" outlineLevel="0" collapsed="false">
      <c r="B13" s="27" t="s">
        <v>112</v>
      </c>
      <c r="C13" s="27" t="s">
        <v>93</v>
      </c>
      <c r="D13" s="27" t="s">
        <v>94</v>
      </c>
      <c r="E13" s="27" t="s">
        <v>113</v>
      </c>
    </row>
    <row r="14" customFormat="false" ht="15" hidden="false" customHeight="true" outlineLevel="0" collapsed="false">
      <c r="B14" s="32" t="s">
        <v>114</v>
      </c>
      <c r="C14" s="33" t="n">
        <f aca="false">C8*C9</f>
        <v>408</v>
      </c>
      <c r="D14" s="17" t="s">
        <v>76</v>
      </c>
      <c r="E14" s="28" t="s">
        <v>115</v>
      </c>
    </row>
    <row r="15" customFormat="false" ht="15" hidden="false" customHeight="true" outlineLevel="0" collapsed="false">
      <c r="B15" s="32" t="s">
        <v>188</v>
      </c>
      <c r="C15" s="34" t="n">
        <f aca="false">C6*C7</f>
        <v>22500</v>
      </c>
      <c r="D15" s="17" t="s">
        <v>117</v>
      </c>
      <c r="E15" s="28" t="s">
        <v>189</v>
      </c>
    </row>
    <row r="16" customFormat="false" ht="15" hidden="false" customHeight="true" outlineLevel="0" collapsed="false">
      <c r="B16" s="32" t="s">
        <v>190</v>
      </c>
      <c r="C16" s="34" t="n">
        <f aca="false">C10*C14</f>
        <v>22440</v>
      </c>
      <c r="D16" s="17" t="s">
        <v>117</v>
      </c>
      <c r="E16" s="28" t="s">
        <v>120</v>
      </c>
    </row>
    <row r="17" customFormat="false" ht="15" hidden="false" customHeight="true" outlineLevel="0" collapsed="false">
      <c r="B17" s="32" t="s">
        <v>191</v>
      </c>
      <c r="C17" s="35" t="n">
        <f aca="false">C15/C16</f>
        <v>1.00267379679144</v>
      </c>
      <c r="D17" s="17" t="s">
        <v>80</v>
      </c>
      <c r="E17" s="28" t="s">
        <v>192</v>
      </c>
    </row>
    <row r="18" customFormat="false" ht="15" hidden="false" customHeight="true" outlineLevel="0" collapsed="false">
      <c r="B18" s="32" t="s">
        <v>125</v>
      </c>
      <c r="C18" s="33" t="n">
        <f aca="false">MAX(0,(C15-C16)/C7)</f>
        <v>1.33333333333333</v>
      </c>
      <c r="D18" s="17" t="s">
        <v>126</v>
      </c>
      <c r="E18" s="28" t="s">
        <v>193</v>
      </c>
    </row>
    <row r="19" customFormat="false" ht="15" hidden="false" customHeight="true" outlineLevel="0" collapsed="false">
      <c r="B19" s="32" t="s">
        <v>128</v>
      </c>
      <c r="C19" s="33" t="n">
        <f aca="false">C16/C7</f>
        <v>498.666666666667</v>
      </c>
      <c r="D19" s="17" t="s">
        <v>126</v>
      </c>
      <c r="E19" s="28" t="s">
        <v>194</v>
      </c>
    </row>
    <row r="20" customFormat="false" ht="15" hidden="false" customHeight="true" outlineLevel="0" collapsed="false">
      <c r="B20" s="32" t="s">
        <v>177</v>
      </c>
      <c r="C20" s="33" t="n">
        <f aca="false">ROUNDUP(C15/C14,0)</f>
        <v>56</v>
      </c>
      <c r="D20" s="17" t="s">
        <v>106</v>
      </c>
      <c r="E20" s="28" t="s">
        <v>195</v>
      </c>
    </row>
    <row r="21" customFormat="false" ht="23.25" hidden="false" customHeight="true" outlineLevel="0" collapsed="false">
      <c r="B21" s="32" t="s">
        <v>196</v>
      </c>
      <c r="C21" s="33" t="n">
        <f aca="false">60-C20</f>
        <v>4</v>
      </c>
      <c r="D21" s="17" t="s">
        <v>106</v>
      </c>
      <c r="E21" s="28" t="s">
        <v>197</v>
      </c>
    </row>
    <row r="24" customFormat="false" ht="15" hidden="false" customHeight="true" outlineLevel="0" collapsed="false">
      <c r="A24" s="40" t="s">
        <v>198</v>
      </c>
      <c r="B24" s="40"/>
      <c r="C24" s="40"/>
      <c r="D24" s="40"/>
      <c r="E24" s="40"/>
      <c r="F24" s="40"/>
    </row>
    <row r="25" customFormat="false" ht="19.5" hidden="false" customHeight="true" outlineLevel="0" collapsed="false">
      <c r="B25" s="3" t="s">
        <v>199</v>
      </c>
      <c r="C25" s="3" t="s">
        <v>168</v>
      </c>
      <c r="D25" s="3" t="s">
        <v>169</v>
      </c>
      <c r="E25" s="3" t="s">
        <v>200</v>
      </c>
    </row>
    <row r="26" customFormat="false" ht="15" hidden="false" customHeight="true" outlineLevel="0" collapsed="false">
      <c r="B26" s="4" t="s">
        <v>171</v>
      </c>
      <c r="C26" s="13" t="n">
        <v>53</v>
      </c>
      <c r="D26" s="38" t="n">
        <v>45</v>
      </c>
      <c r="E26" s="5" t="s">
        <v>201</v>
      </c>
    </row>
    <row r="27" customFormat="false" ht="15" hidden="false" customHeight="true" outlineLevel="0" collapsed="false">
      <c r="B27" s="4" t="s">
        <v>173</v>
      </c>
      <c r="C27" s="13" t="n">
        <v>90</v>
      </c>
      <c r="D27" s="38" t="n">
        <v>75</v>
      </c>
      <c r="E27" s="5" t="s">
        <v>174</v>
      </c>
    </row>
    <row r="28" customFormat="false" ht="15" hidden="false" customHeight="true" outlineLevel="0" collapsed="false">
      <c r="B28" s="4" t="s">
        <v>202</v>
      </c>
      <c r="C28" s="13" t="s">
        <v>203</v>
      </c>
      <c r="D28" s="38" t="s">
        <v>204</v>
      </c>
      <c r="E28" s="5" t="s">
        <v>205</v>
      </c>
    </row>
    <row r="29" customFormat="false" ht="15" hidden="false" customHeight="true" outlineLevel="0" collapsed="false">
      <c r="B29" s="4" t="s">
        <v>206</v>
      </c>
      <c r="C29" s="13" t="s">
        <v>207</v>
      </c>
      <c r="D29" s="38" t="s">
        <v>208</v>
      </c>
      <c r="E29" s="5" t="s">
        <v>209</v>
      </c>
    </row>
    <row r="30" customFormat="false" ht="15" hidden="false" customHeight="true" outlineLevel="0" collapsed="false">
      <c r="B30" s="4" t="s">
        <v>177</v>
      </c>
      <c r="C30" s="13" t="n">
        <v>65</v>
      </c>
      <c r="D30" s="38" t="n">
        <v>55</v>
      </c>
      <c r="E30" s="5" t="s">
        <v>178</v>
      </c>
    </row>
    <row r="31" customFormat="false" ht="15" hidden="false" customHeight="true" outlineLevel="0" collapsed="false">
      <c r="B31" s="4" t="s">
        <v>210</v>
      </c>
      <c r="C31" s="13" t="s">
        <v>211</v>
      </c>
      <c r="D31" s="38" t="s">
        <v>212</v>
      </c>
      <c r="E31" s="5" t="s">
        <v>213</v>
      </c>
    </row>
  </sheetData>
  <mergeCells count="5">
    <mergeCell ref="A1:F1"/>
    <mergeCell ref="A2:F2"/>
    <mergeCell ref="A4:F4"/>
    <mergeCell ref="A12:F12"/>
    <mergeCell ref="A24:F24"/>
  </mergeCells>
  <conditionalFormatting sqref="C17">
    <cfRule type="cellIs" priority="2" operator="greaterThanOrEqual" aboveAverage="0" equalAverage="0" bottom="0" percent="0" rank="0" text="" dxfId="0">
      <formula>1</formula>
    </cfRule>
    <cfRule type="cellIs" priority="3" operator="lessThan" aboveAverage="0" equalAverage="0" bottom="0" percent="0" rank="0" text="" dxfId="1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7" min="3" style="1" width="18"/>
    <col collapsed="false" customWidth="true" hidden="false" outlineLevel="0" max="8" min="8" style="1" width="14"/>
  </cols>
  <sheetData>
    <row r="1" customFormat="false" ht="34.5" hidden="false" customHeight="true" outlineLevel="0" collapsed="false">
      <c r="A1" s="41" t="s">
        <v>214</v>
      </c>
      <c r="B1" s="41"/>
      <c r="C1" s="41"/>
      <c r="D1" s="41"/>
      <c r="E1" s="41"/>
      <c r="F1" s="41"/>
      <c r="G1" s="41"/>
      <c r="H1" s="41"/>
    </row>
    <row r="2" customFormat="false" ht="15" hidden="false" customHeight="true" outlineLevel="0" collapsed="false">
      <c r="A2" s="9" t="s">
        <v>215</v>
      </c>
      <c r="B2" s="9"/>
      <c r="C2" s="9"/>
      <c r="D2" s="9"/>
      <c r="E2" s="9"/>
      <c r="F2" s="9"/>
      <c r="G2" s="9"/>
      <c r="H2" s="9"/>
    </row>
    <row r="4" customFormat="false" ht="15" hidden="false" customHeight="true" outlineLevel="0" collapsed="false">
      <c r="A4" s="14" t="s">
        <v>216</v>
      </c>
      <c r="B4" s="14"/>
      <c r="C4" s="14"/>
      <c r="D4" s="14"/>
      <c r="E4" s="14"/>
      <c r="F4" s="14"/>
      <c r="G4" s="14"/>
      <c r="H4" s="14"/>
    </row>
    <row r="5" customFormat="false" ht="19.5" hidden="false" customHeight="true" outlineLevel="0" collapsed="false">
      <c r="B5" s="3" t="s">
        <v>217</v>
      </c>
      <c r="C5" s="3" t="s">
        <v>218</v>
      </c>
      <c r="D5" s="3" t="s">
        <v>219</v>
      </c>
      <c r="E5" s="3" t="s">
        <v>220</v>
      </c>
      <c r="F5" s="3" t="s">
        <v>221</v>
      </c>
      <c r="G5" s="3" t="s">
        <v>222</v>
      </c>
    </row>
    <row r="6" customFormat="false" ht="19.5" hidden="false" customHeight="true" outlineLevel="0" collapsed="false">
      <c r="B6" s="42" t="n">
        <f aca="false">Capacity_AsIs!C7</f>
        <v>53</v>
      </c>
      <c r="C6" s="43" t="n">
        <f aca="false">TAT_AsIs!C14</f>
        <v>6</v>
      </c>
      <c r="D6" s="43" t="n">
        <f aca="false">TAT_AsIs!C16</f>
        <v>2</v>
      </c>
      <c r="E6" s="44" t="str">
        <f aca="false">Capacity_AsIs!C14</f>
        <v>Value</v>
      </c>
      <c r="F6" s="45" t="n">
        <f aca="false">Capacity_AsIs!C15</f>
        <v>408</v>
      </c>
      <c r="G6" s="46" t="n">
        <f aca="false">Capacity_AsIs!C16</f>
        <v>26500</v>
      </c>
    </row>
    <row r="8" customFormat="false" ht="19.5" hidden="false" customHeight="true" outlineLevel="0" collapsed="false">
      <c r="B8" s="47" t="s">
        <v>217</v>
      </c>
      <c r="C8" s="47" t="s">
        <v>223</v>
      </c>
      <c r="D8" s="47" t="s">
        <v>224</v>
      </c>
      <c r="E8" s="47" t="s">
        <v>225</v>
      </c>
      <c r="F8" s="47" t="s">
        <v>226</v>
      </c>
      <c r="G8" s="47" t="s">
        <v>227</v>
      </c>
    </row>
    <row r="9" customFormat="false" ht="17.25" hidden="false" customHeight="true" outlineLevel="0" collapsed="false">
      <c r="B9" s="48" t="n">
        <f aca="false">Capacity_ToBe!C8</f>
        <v>480</v>
      </c>
      <c r="C9" s="48" t="n">
        <f aca="false">TAT_ToBe!C33</f>
        <v>0</v>
      </c>
      <c r="D9" s="48" t="n">
        <f aca="false">TAT_ToBe!C34</f>
        <v>0</v>
      </c>
      <c r="E9" s="49" t="n">
        <f aca="false">Capacity_ToBe!C14</f>
        <v>408</v>
      </c>
      <c r="F9" s="48" t="n">
        <f aca="false">Capacity_ToBe!C15</f>
        <v>22500</v>
      </c>
      <c r="G9" s="48" t="n">
        <f aca="false">Capacity_ToBe!C16</f>
        <v>22440</v>
      </c>
    </row>
    <row r="11" customFormat="false" ht="15" hidden="false" customHeight="true" outlineLevel="0" collapsed="false">
      <c r="A11" s="36" t="s">
        <v>228</v>
      </c>
      <c r="B11" s="36"/>
      <c r="C11" s="36"/>
      <c r="D11" s="36"/>
      <c r="E11" s="36"/>
      <c r="F11" s="36"/>
      <c r="G11" s="36"/>
      <c r="H11" s="36"/>
    </row>
    <row r="12" customFormat="false" ht="19.5" hidden="false" customHeight="true" outlineLevel="0" collapsed="false">
      <c r="B12" s="3" t="s">
        <v>229</v>
      </c>
      <c r="C12" s="3" t="s">
        <v>230</v>
      </c>
      <c r="D12" s="3" t="s">
        <v>134</v>
      </c>
      <c r="E12" s="3" t="s">
        <v>135</v>
      </c>
      <c r="F12" s="3" t="s">
        <v>136</v>
      </c>
    </row>
    <row r="13" customFormat="false" ht="15" hidden="false" customHeight="true" outlineLevel="0" collapsed="false">
      <c r="B13" s="37" t="n">
        <v>50</v>
      </c>
      <c r="C13" s="34" t="n">
        <f aca="false">Capacity_AsIs!C6*Capacity_AsIs!C7</f>
        <v>26500</v>
      </c>
      <c r="D13" s="34" t="n">
        <f aca="false">50*Capacity_AsIs!C15</f>
        <v>20400</v>
      </c>
      <c r="E13" s="35" t="n">
        <f aca="false">C13/D13</f>
        <v>1.29901960784314</v>
      </c>
      <c r="F13" s="33" t="n">
        <f aca="false">MAX(0,(C13-D13)/Capacity_AsIs!C7)</f>
        <v>115.094339622642</v>
      </c>
    </row>
    <row r="14" customFormat="false" ht="15" hidden="false" customHeight="true" outlineLevel="0" collapsed="false">
      <c r="B14" s="37" t="n">
        <v>52</v>
      </c>
      <c r="C14" s="34" t="n">
        <f aca="false">Capacity_AsIs!C6*Capacity_AsIs!C7</f>
        <v>26500</v>
      </c>
      <c r="D14" s="34" t="n">
        <f aca="false">52*Capacity_AsIs!C15</f>
        <v>21216</v>
      </c>
      <c r="E14" s="35" t="n">
        <f aca="false">C14/D14</f>
        <v>1.24905731523379</v>
      </c>
      <c r="F14" s="33" t="n">
        <f aca="false">MAX(0,(C14-D14)/Capacity_AsIs!C7)</f>
        <v>99.6981132075472</v>
      </c>
    </row>
    <row r="15" customFormat="false" ht="15" hidden="false" customHeight="true" outlineLevel="0" collapsed="false">
      <c r="B15" s="37" t="n">
        <v>55</v>
      </c>
      <c r="C15" s="34" t="n">
        <f aca="false">Capacity_AsIs!C6*Capacity_AsIs!C7</f>
        <v>26500</v>
      </c>
      <c r="D15" s="34" t="n">
        <f aca="false">55*Capacity_AsIs!C15</f>
        <v>22440</v>
      </c>
      <c r="E15" s="35" t="n">
        <f aca="false">C15/D15</f>
        <v>1.18092691622103</v>
      </c>
      <c r="F15" s="33" t="n">
        <f aca="false">MAX(0,(C15-D15)/Capacity_AsIs!C7)</f>
        <v>76.6037735849057</v>
      </c>
    </row>
    <row r="16" customFormat="false" ht="15" hidden="false" customHeight="true" outlineLevel="0" collapsed="false">
      <c r="B16" s="37" t="n">
        <v>57</v>
      </c>
      <c r="C16" s="34" t="n">
        <f aca="false">Capacity_AsIs!C6*Capacity_AsIs!C7</f>
        <v>26500</v>
      </c>
      <c r="D16" s="34" t="n">
        <f aca="false">57*Capacity_AsIs!C15</f>
        <v>23256</v>
      </c>
      <c r="E16" s="35" t="n">
        <f aca="false">C16/D16</f>
        <v>1.13949088407293</v>
      </c>
      <c r="F16" s="33" t="n">
        <f aca="false">MAX(0,(C16-D16)/Capacity_AsIs!C7)</f>
        <v>61.2075471698113</v>
      </c>
    </row>
    <row r="17" customFormat="false" ht="15" hidden="false" customHeight="true" outlineLevel="0" collapsed="false">
      <c r="B17" s="37" t="n">
        <v>60</v>
      </c>
      <c r="C17" s="34" t="n">
        <f aca="false">Capacity_AsIs!C6*Capacity_AsIs!C7</f>
        <v>26500</v>
      </c>
      <c r="D17" s="34" t="n">
        <f aca="false">60*Capacity_AsIs!C15</f>
        <v>24480</v>
      </c>
      <c r="E17" s="35" t="n">
        <f aca="false">C17/D17</f>
        <v>1.08251633986928</v>
      </c>
      <c r="F17" s="33" t="n">
        <f aca="false">MAX(0,(C17-D17)/Capacity_AsIs!C7)</f>
        <v>38.1132075471698</v>
      </c>
    </row>
    <row r="18" customFormat="false" ht="15" hidden="false" customHeight="true" outlineLevel="0" collapsed="false">
      <c r="B18" s="37" t="n">
        <v>62</v>
      </c>
      <c r="C18" s="34" t="n">
        <f aca="false">Capacity_AsIs!C6*Capacity_AsIs!C7</f>
        <v>26500</v>
      </c>
      <c r="D18" s="34" t="n">
        <f aca="false">62*Capacity_AsIs!C15</f>
        <v>25296</v>
      </c>
      <c r="E18" s="35" t="n">
        <f aca="false">C18/D18</f>
        <v>1.04759645793801</v>
      </c>
      <c r="F18" s="33" t="n">
        <f aca="false">MAX(0,(C18-D18)/Capacity_AsIs!C7)</f>
        <v>22.7169811320755</v>
      </c>
    </row>
    <row r="19" customFormat="false" ht="15" hidden="false" customHeight="true" outlineLevel="0" collapsed="false">
      <c r="B19" s="37" t="n">
        <v>65</v>
      </c>
      <c r="C19" s="34" t="n">
        <f aca="false">Capacity_AsIs!C6*Capacity_AsIs!C7</f>
        <v>26500</v>
      </c>
      <c r="D19" s="34" t="n">
        <f aca="false">65*Capacity_AsIs!C15</f>
        <v>26520</v>
      </c>
      <c r="E19" s="35" t="n">
        <f aca="false">C19/D19</f>
        <v>0.999245852187029</v>
      </c>
      <c r="F19" s="33" t="n">
        <f aca="false">MAX(0,(C19-D19)/Capacity_AsIs!C7)</f>
        <v>0</v>
      </c>
    </row>
    <row r="22" customFormat="false" ht="15" hidden="false" customHeight="true" outlineLevel="0" collapsed="false">
      <c r="A22" s="50" t="s">
        <v>231</v>
      </c>
      <c r="B22" s="50"/>
      <c r="C22" s="50"/>
      <c r="D22" s="50"/>
      <c r="E22" s="50"/>
      <c r="F22" s="50"/>
      <c r="G22" s="50"/>
      <c r="H22" s="50"/>
    </row>
    <row r="23" customFormat="false" ht="19.5" hidden="false" customHeight="true" outlineLevel="0" collapsed="false">
      <c r="B23" s="3" t="s">
        <v>112</v>
      </c>
      <c r="C23" s="3" t="s">
        <v>232</v>
      </c>
      <c r="D23" s="3" t="s">
        <v>233</v>
      </c>
      <c r="E23" s="3" t="s">
        <v>234</v>
      </c>
    </row>
    <row r="24" customFormat="false" ht="23.25" hidden="false" customHeight="true" outlineLevel="0" collapsed="false">
      <c r="B24" s="15" t="s">
        <v>235</v>
      </c>
      <c r="C24" s="51" t="s">
        <v>236</v>
      </c>
      <c r="D24" s="25" t="s">
        <v>237</v>
      </c>
      <c r="E24" s="5" t="s">
        <v>238</v>
      </c>
    </row>
    <row r="25" customFormat="false" ht="23.25" hidden="false" customHeight="true" outlineLevel="0" collapsed="false">
      <c r="B25" s="15" t="s">
        <v>202</v>
      </c>
      <c r="C25" s="51" t="s">
        <v>239</v>
      </c>
      <c r="D25" s="25" t="s">
        <v>240</v>
      </c>
      <c r="E25" s="5" t="s">
        <v>241</v>
      </c>
    </row>
    <row r="26" customFormat="false" ht="15" hidden="false" customHeight="true" outlineLevel="0" collapsed="false">
      <c r="B26" s="15" t="s">
        <v>125</v>
      </c>
      <c r="C26" s="51" t="n">
        <f aca="false">0</f>
        <v>0</v>
      </c>
      <c r="D26" s="25" t="s">
        <v>242</v>
      </c>
      <c r="E26" s="5" t="s">
        <v>243</v>
      </c>
    </row>
    <row r="27" customFormat="false" ht="15" hidden="false" customHeight="true" outlineLevel="0" collapsed="false">
      <c r="B27" s="15" t="s">
        <v>244</v>
      </c>
      <c r="C27" s="51" t="s">
        <v>245</v>
      </c>
      <c r="D27" s="25" t="s">
        <v>246</v>
      </c>
      <c r="E27" s="5" t="s">
        <v>247</v>
      </c>
    </row>
  </sheetData>
  <mergeCells count="5">
    <mergeCell ref="A1:H1"/>
    <mergeCell ref="A2:H2"/>
    <mergeCell ref="A4:H4"/>
    <mergeCell ref="A11:H11"/>
    <mergeCell ref="A22:H22"/>
  </mergeCells>
  <conditionalFormatting sqref="E13:E19">
    <cfRule type="cellIs" priority="2" operator="greaterThanOrEqual" aboveAverage="0" equalAverage="0" bottom="0" percent="0" rank="0" text="" dxfId="0">
      <formula>1</formula>
    </cfRule>
    <cfRule type="cellIs" priority="3" operator="lessThan" aboveAverage="0" equalAverage="0" bottom="0" percent="0" rank="0" text="" dxfId="1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2026-02-28T09:35:43Z</dcterms:created>
  <dc:creator>openpyxl</dc:creator>
  <dc:description/>
  <dc:language>en-US</dc:language>
  <cp:lastModifiedBy/>
  <dcterms:modified xsi:type="dcterms:W3CDTF">2026-02-28T09:36:16Z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